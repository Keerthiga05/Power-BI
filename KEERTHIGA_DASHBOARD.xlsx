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790\OneDrive\Documents\"/>
    </mc:Choice>
  </mc:AlternateContent>
  <xr:revisionPtr revIDLastSave="0" documentId="13_ncr:1_{211DDCFE-CA6F-42B3-A46F-5A679766FC38}" xr6:coauthVersionLast="47" xr6:coauthVersionMax="47" xr10:uidLastSave="{00000000-0000-0000-0000-000000000000}"/>
  <bookViews>
    <workbookView xWindow="-108" yWindow="-108" windowWidth="23256" windowHeight="12456" xr2:uid="{00000000-000D-0000-FFFF-FFFF00000000}"/>
  </bookViews>
  <sheets>
    <sheet name="Dataset" sheetId="1" r:id="rId1"/>
    <sheet name="Pivot Table" sheetId="2" r:id="rId2"/>
    <sheet name="Charts" sheetId="3" r:id="rId3"/>
    <sheet name="Dashboard" sheetId="4" r:id="rId4"/>
  </sheets>
  <definedNames>
    <definedName name="Slicer_Product">#N/A</definedName>
    <definedName name="Slicer_Region">#N/A</definedName>
    <definedName name="Slicer_Sales_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1" i="1" l="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L14" i="1"/>
  <c r="I14" i="1"/>
  <c r="I13" i="1"/>
  <c r="I12" i="1"/>
  <c r="L11" i="1"/>
  <c r="I11" i="1"/>
  <c r="I10" i="1"/>
  <c r="I9" i="1"/>
  <c r="L8" i="1"/>
  <c r="I8" i="1"/>
  <c r="I7" i="1"/>
  <c r="I6" i="1"/>
  <c r="L5" i="1"/>
  <c r="I5" i="1"/>
  <c r="I4" i="1"/>
  <c r="I3" i="1"/>
  <c r="I2" i="1"/>
</calcChain>
</file>

<file path=xl/sharedStrings.xml><?xml version="1.0" encoding="utf-8"?>
<sst xmlns="http://schemas.openxmlformats.org/spreadsheetml/2006/main" count="1547" uniqueCount="527">
  <si>
    <t>Date</t>
  </si>
  <si>
    <t>Sales_Person</t>
  </si>
  <si>
    <t>Region</t>
  </si>
  <si>
    <t>Product</t>
  </si>
  <si>
    <t>Unit_Sold</t>
  </si>
  <si>
    <t>Unit_Price</t>
  </si>
  <si>
    <t>Cost_Goods</t>
  </si>
  <si>
    <t>Total_Sale</t>
  </si>
  <si>
    <t>Sharon Joseph</t>
  </si>
  <si>
    <t>Deborah Hess</t>
  </si>
  <si>
    <t>Dominique Figueroa</t>
  </si>
  <si>
    <t>Kevin Lawson</t>
  </si>
  <si>
    <t>Michelle Collins</t>
  </si>
  <si>
    <t>Elizabeth Miller</t>
  </si>
  <si>
    <t>Casey Perkins</t>
  </si>
  <si>
    <t>Christopher Martin</t>
  </si>
  <si>
    <t>Jennifer Moore</t>
  </si>
  <si>
    <t>Melanie Lang</t>
  </si>
  <si>
    <t>Justin Shelton</t>
  </si>
  <si>
    <t>Casey Norman</t>
  </si>
  <si>
    <t>Pamela Fisher</t>
  </si>
  <si>
    <t>Danielle Palmer</t>
  </si>
  <si>
    <t>Kevin Phillips</t>
  </si>
  <si>
    <t>Jennifer Davis</t>
  </si>
  <si>
    <t>Cynthia Nguyen</t>
  </si>
  <si>
    <t>Kenneth Lara</t>
  </si>
  <si>
    <t>Joseph Gonzales</t>
  </si>
  <si>
    <t>Laurie Hall</t>
  </si>
  <si>
    <t>Mrs. Teresa Wallace</t>
  </si>
  <si>
    <t>Kari Jones</t>
  </si>
  <si>
    <t>Michael Jenkins</t>
  </si>
  <si>
    <t>Derrick Young</t>
  </si>
  <si>
    <t>Melanie Davis</t>
  </si>
  <si>
    <t>Todd Bowman</t>
  </si>
  <si>
    <t>Jessica Walker</t>
  </si>
  <si>
    <t>Randy Burns</t>
  </si>
  <si>
    <t>Amy Tran</t>
  </si>
  <si>
    <t>Heather King</t>
  </si>
  <si>
    <t>Amber Smith</t>
  </si>
  <si>
    <t>Benjamin Johnson</t>
  </si>
  <si>
    <t>Jessica Lewis</t>
  </si>
  <si>
    <t>Michael Dickerson</t>
  </si>
  <si>
    <t>Stacy Lewis</t>
  </si>
  <si>
    <t>Elizabeth Walker</t>
  </si>
  <si>
    <t>Samuel Cochran</t>
  </si>
  <si>
    <t>Jeffrey Shelton</t>
  </si>
  <si>
    <t>Mary Macias</t>
  </si>
  <si>
    <t>Nicole Weaver</t>
  </si>
  <si>
    <t>Sharon Hill</t>
  </si>
  <si>
    <t>David Hammond</t>
  </si>
  <si>
    <t>Marcia Reyes</t>
  </si>
  <si>
    <t>Jasmine Perkins MD</t>
  </si>
  <si>
    <t>Pamela Hernandez</t>
  </si>
  <si>
    <t>Heather Hamilton</t>
  </si>
  <si>
    <t>Ashley Black</t>
  </si>
  <si>
    <t>Melissa Smith</t>
  </si>
  <si>
    <t>Jennifer Ruiz</t>
  </si>
  <si>
    <t>Dr. Jessica Kemp</t>
  </si>
  <si>
    <t>Samuel Price</t>
  </si>
  <si>
    <t>Jesus Baird</t>
  </si>
  <si>
    <t>Ronald Frost</t>
  </si>
  <si>
    <t>Lindsay Cox</t>
  </si>
  <si>
    <t>Sara Pope</t>
  </si>
  <si>
    <t>Shannon Kennedy</t>
  </si>
  <si>
    <t>Jason Rodriguez</t>
  </si>
  <si>
    <t>Stephanie Glass</t>
  </si>
  <si>
    <t>Danielle Wong</t>
  </si>
  <si>
    <t>Stephanie Gutierrez</t>
  </si>
  <si>
    <t>Michael Humphrey</t>
  </si>
  <si>
    <t>Brian Dean</t>
  </si>
  <si>
    <t>Deborah Banks</t>
  </si>
  <si>
    <t>John Nixon</t>
  </si>
  <si>
    <t>Gary Taylor</t>
  </si>
  <si>
    <t>Brent Powell</t>
  </si>
  <si>
    <t>Joseph Garza</t>
  </si>
  <si>
    <t>Tim Gomez</t>
  </si>
  <si>
    <t>Anthony Douglas</t>
  </si>
  <si>
    <t>Richard Schultz</t>
  </si>
  <si>
    <t>Gabrielle Bennett</t>
  </si>
  <si>
    <t>Stephanie Webb</t>
  </si>
  <si>
    <t>Michael Pratt</t>
  </si>
  <si>
    <t>Stacie Gordon</t>
  </si>
  <si>
    <t>Jason Turner</t>
  </si>
  <si>
    <t>Jessica Flores</t>
  </si>
  <si>
    <t>Danielle Foster</t>
  </si>
  <si>
    <t>Mary Cooper</t>
  </si>
  <si>
    <t>Lonnie Kim</t>
  </si>
  <si>
    <t>Kevin Kim</t>
  </si>
  <si>
    <t>Hayley Cox</t>
  </si>
  <si>
    <t>Alyssa Jackson</t>
  </si>
  <si>
    <t>Brandon Lowe</t>
  </si>
  <si>
    <t>Kathy Thompson</t>
  </si>
  <si>
    <t>Cindy Burton</t>
  </si>
  <si>
    <t>Charles Steele</t>
  </si>
  <si>
    <t>Jenna Taylor</t>
  </si>
  <si>
    <t>Wendy Schultz</t>
  </si>
  <si>
    <t>John Cross</t>
  </si>
  <si>
    <t>Savannah Davis</t>
  </si>
  <si>
    <t>Holly Jones</t>
  </si>
  <si>
    <t>Mr. Bryan Salas</t>
  </si>
  <si>
    <t>Keith Davidson</t>
  </si>
  <si>
    <t>Christina Gonzalez</t>
  </si>
  <si>
    <t>Deborah Smith</t>
  </si>
  <si>
    <t>Jason Jarvis</t>
  </si>
  <si>
    <t>Michelle Jackson</t>
  </si>
  <si>
    <t>Jesus Henderson</t>
  </si>
  <si>
    <t>Kathleen Burton</t>
  </si>
  <si>
    <t>Stephanie Salinas</t>
  </si>
  <si>
    <t>Phyllis Howard</t>
  </si>
  <si>
    <t>Sharon Travis</t>
  </si>
  <si>
    <t>Damon Rodriguez</t>
  </si>
  <si>
    <t>Ricky Nguyen</t>
  </si>
  <si>
    <t>Jeffrey Hoffman</t>
  </si>
  <si>
    <t>Marc Sanders</t>
  </si>
  <si>
    <t>Stephanie Lawson</t>
  </si>
  <si>
    <t>Keith Baxter</t>
  </si>
  <si>
    <t>Suzanne Mclean</t>
  </si>
  <si>
    <t>Catherine Vaughn</t>
  </si>
  <si>
    <t>Brianna Rios</t>
  </si>
  <si>
    <t>Barbara Brown</t>
  </si>
  <si>
    <t>George Collins</t>
  </si>
  <si>
    <t>Amber Navarro</t>
  </si>
  <si>
    <t>Todd Harrison</t>
  </si>
  <si>
    <t>Kristin Garcia</t>
  </si>
  <si>
    <t>Abigail Jackson</t>
  </si>
  <si>
    <t>Juan Hancock</t>
  </si>
  <si>
    <t>Kimberly Clark</t>
  </si>
  <si>
    <t>Erika Nichols</t>
  </si>
  <si>
    <t>Jenna Chang</t>
  </si>
  <si>
    <t>Karen Salas</t>
  </si>
  <si>
    <t>Curtis Mcdonald</t>
  </si>
  <si>
    <t>Stephanie Duncan</t>
  </si>
  <si>
    <t>Jeremy Miller</t>
  </si>
  <si>
    <t>Cody Salazar</t>
  </si>
  <si>
    <t>Kevin Weaver</t>
  </si>
  <si>
    <t>Bob Browning</t>
  </si>
  <si>
    <t>Theresa Hebert</t>
  </si>
  <si>
    <t>Dr. Marc Castillo PhD</t>
  </si>
  <si>
    <t>Elizabeth Hall</t>
  </si>
  <si>
    <t>Michael Goodman</t>
  </si>
  <si>
    <t>Ian Hodge</t>
  </si>
  <si>
    <t>Dawn Crawford</t>
  </si>
  <si>
    <t>Craig Campbell</t>
  </si>
  <si>
    <t>Cindy Taylor</t>
  </si>
  <si>
    <t>Kelli Proctor</t>
  </si>
  <si>
    <t>Linda Goodman</t>
  </si>
  <si>
    <t>Michael Rivers</t>
  </si>
  <si>
    <t>James Shields</t>
  </si>
  <si>
    <t>Carol Larsen</t>
  </si>
  <si>
    <t>Thomas Davis</t>
  </si>
  <si>
    <t>David Gonzalez</t>
  </si>
  <si>
    <t>Mary Lopez</t>
  </si>
  <si>
    <t>James Hodges</t>
  </si>
  <si>
    <t>Mary Frazier</t>
  </si>
  <si>
    <t>Jamie Powell</t>
  </si>
  <si>
    <t>Paul Miller</t>
  </si>
  <si>
    <t>Sherry Powers</t>
  </si>
  <si>
    <t>Tony Maynard</t>
  </si>
  <si>
    <t>Julie Massey</t>
  </si>
  <si>
    <t>Suzanne Reynolds</t>
  </si>
  <si>
    <t>Larry Lozano</t>
  </si>
  <si>
    <t>Sean Love</t>
  </si>
  <si>
    <t>Michelle Cox</t>
  </si>
  <si>
    <t>Martha Pitts</t>
  </si>
  <si>
    <t>Robert Frank</t>
  </si>
  <si>
    <t>Zachary Boyd</t>
  </si>
  <si>
    <t>Michael Cline</t>
  </si>
  <si>
    <t>Jeremy Morgan</t>
  </si>
  <si>
    <t>Lisa Wood</t>
  </si>
  <si>
    <t>Matthew Rodriguez</t>
  </si>
  <si>
    <t>Robert Rice</t>
  </si>
  <si>
    <t>Carla James</t>
  </si>
  <si>
    <t>Michael Brandt</t>
  </si>
  <si>
    <t>Timothy Barnett</t>
  </si>
  <si>
    <t>Kelly Brooks</t>
  </si>
  <si>
    <t>Robert Smith</t>
  </si>
  <si>
    <t>David Miller</t>
  </si>
  <si>
    <t>Jacob Herman</t>
  </si>
  <si>
    <t>Dana Hill</t>
  </si>
  <si>
    <t>Andrew Schmidt</t>
  </si>
  <si>
    <t>Jill Wade</t>
  </si>
  <si>
    <t>Nicole Fry</t>
  </si>
  <si>
    <t>Robert Ruiz</t>
  </si>
  <si>
    <t>Kevin Howe</t>
  </si>
  <si>
    <t>Emily Miller</t>
  </si>
  <si>
    <t>Christopher Bell</t>
  </si>
  <si>
    <t>Diana Herrera</t>
  </si>
  <si>
    <t>Sherry Phillips</t>
  </si>
  <si>
    <t>Miss Jaime Gonzalez</t>
  </si>
  <si>
    <t>Eugene Butler</t>
  </si>
  <si>
    <t>Eric Ramirez</t>
  </si>
  <si>
    <t>April Bailey</t>
  </si>
  <si>
    <t>Jonathan Smith</t>
  </si>
  <si>
    <t>Alison Pruitt</t>
  </si>
  <si>
    <t>Hayley Mckinney</t>
  </si>
  <si>
    <t>Kelly Rangel</t>
  </si>
  <si>
    <t>Carl Young</t>
  </si>
  <si>
    <t>Austin Logan</t>
  </si>
  <si>
    <t>John Savage</t>
  </si>
  <si>
    <t>Debra Perkins</t>
  </si>
  <si>
    <t>Jose Short</t>
  </si>
  <si>
    <t>Ricky Anderson</t>
  </si>
  <si>
    <t>Elizabeth Perez</t>
  </si>
  <si>
    <t>Kevin Kane</t>
  </si>
  <si>
    <t>Kathryn Craig</t>
  </si>
  <si>
    <t>Eric Green</t>
  </si>
  <si>
    <t>Brett Martin</t>
  </si>
  <si>
    <t>Craig Wallace</t>
  </si>
  <si>
    <t>Mary Mclaughlin</t>
  </si>
  <si>
    <t>Lynn Sullivan</t>
  </si>
  <si>
    <t>Mark Joseph</t>
  </si>
  <si>
    <t>Christian Parker</t>
  </si>
  <si>
    <t>Mr. Terry Williams</t>
  </si>
  <si>
    <t>David Padilla</t>
  </si>
  <si>
    <t>Erik Poole</t>
  </si>
  <si>
    <t>Terri Hart</t>
  </si>
  <si>
    <t>Fernando Torres</t>
  </si>
  <si>
    <t>Jill Richards</t>
  </si>
  <si>
    <t>Rachel Mitchell</t>
  </si>
  <si>
    <t>Brian Hawkins</t>
  </si>
  <si>
    <t>Ryan Yu</t>
  </si>
  <si>
    <t>Zachary Gilmore</t>
  </si>
  <si>
    <t>Joshua Fischer</t>
  </si>
  <si>
    <t>Matthew Carroll</t>
  </si>
  <si>
    <t>Mark Hall</t>
  </si>
  <si>
    <t>Adam Lee</t>
  </si>
  <si>
    <t>Stephanie Butler</t>
  </si>
  <si>
    <t>Angela Mckinney</t>
  </si>
  <si>
    <t>Dennis Reyes</t>
  </si>
  <si>
    <t>Holly Williams</t>
  </si>
  <si>
    <t>Pamela Hampton</t>
  </si>
  <si>
    <t>Dorothy Mills</t>
  </si>
  <si>
    <t>Cathy Bird</t>
  </si>
  <si>
    <t>Brandon Hunt</t>
  </si>
  <si>
    <t>Dennis Wells</t>
  </si>
  <si>
    <t>Nicole Cervantes</t>
  </si>
  <si>
    <t>Dalton Taylor</t>
  </si>
  <si>
    <t>Kayla Franklin</t>
  </si>
  <si>
    <t>Patrick Phillips</t>
  </si>
  <si>
    <t>Dylan Mcdonald</t>
  </si>
  <si>
    <t>David Howard</t>
  </si>
  <si>
    <t>Colin Johnson</t>
  </si>
  <si>
    <t>Patricia Patrick</t>
  </si>
  <si>
    <t>Felicia Mckay</t>
  </si>
  <si>
    <t>Felicia Turner</t>
  </si>
  <si>
    <t>Lori Clark</t>
  </si>
  <si>
    <t>Melissa Parker</t>
  </si>
  <si>
    <t>Rhonda Schwartz</t>
  </si>
  <si>
    <t>Joshua Fields</t>
  </si>
  <si>
    <t>Cynthia Moore</t>
  </si>
  <si>
    <t>Steven Martin</t>
  </si>
  <si>
    <t>Summer Mccoy</t>
  </si>
  <si>
    <t>Sheila Ferrell</t>
  </si>
  <si>
    <t>Mary Fowler</t>
  </si>
  <si>
    <t>Heather Jones</t>
  </si>
  <si>
    <t>Alexander Thompson</t>
  </si>
  <si>
    <t>Jamie Chavez</t>
  </si>
  <si>
    <t>Jennifer Bishop</t>
  </si>
  <si>
    <t>John Barajas</t>
  </si>
  <si>
    <t>Dustin Singh</t>
  </si>
  <si>
    <t>Kevin Kaiser</t>
  </si>
  <si>
    <t>Matthew Oconnor</t>
  </si>
  <si>
    <t>Brian Hobbs</t>
  </si>
  <si>
    <t>Brian Rhodes</t>
  </si>
  <si>
    <t>Victoria Young</t>
  </si>
  <si>
    <t>Connie Meadows</t>
  </si>
  <si>
    <t>Alexander Lopez</t>
  </si>
  <si>
    <t>Lisa Cortez</t>
  </si>
  <si>
    <t>Kimberly Wilkins</t>
  </si>
  <si>
    <t>Dorothy Wilson</t>
  </si>
  <si>
    <t>Nicholas Chase</t>
  </si>
  <si>
    <t>Susan Brown</t>
  </si>
  <si>
    <t>Karen Elliott</t>
  </si>
  <si>
    <t>Melanie Jackson</t>
  </si>
  <si>
    <t>Michael Smith</t>
  </si>
  <si>
    <t>Tiffany Miller</t>
  </si>
  <si>
    <t>Vanessa Sanchez</t>
  </si>
  <si>
    <t>Cindy Rice</t>
  </si>
  <si>
    <t>David Ford</t>
  </si>
  <si>
    <t>Robert Fowler</t>
  </si>
  <si>
    <t>Laurie Trujillo</t>
  </si>
  <si>
    <t>Angel Tyler</t>
  </si>
  <si>
    <t>Tiffany Kim</t>
  </si>
  <si>
    <t>Robin Robertson</t>
  </si>
  <si>
    <t>Jason Oliver</t>
  </si>
  <si>
    <t>Michael Kennedy</t>
  </si>
  <si>
    <t>David Washington</t>
  </si>
  <si>
    <t>Matthew Vasquez</t>
  </si>
  <si>
    <t>Todd Jones Jr.</t>
  </si>
  <si>
    <t>Linda Johns</t>
  </si>
  <si>
    <t>Cathy Walker</t>
  </si>
  <si>
    <t>Amy Farmer</t>
  </si>
  <si>
    <t>Regina Myers</t>
  </si>
  <si>
    <t>Jacob Ponce</t>
  </si>
  <si>
    <t>Donna Wells</t>
  </si>
  <si>
    <t>Gabriel Coleman</t>
  </si>
  <si>
    <t>Christian Vazquez</t>
  </si>
  <si>
    <t>Rebecca Rose</t>
  </si>
  <si>
    <t>Jake Wright</t>
  </si>
  <si>
    <t>Jennifer Hernandez</t>
  </si>
  <si>
    <t>Christopher Casey</t>
  </si>
  <si>
    <t>Christopher Berry</t>
  </si>
  <si>
    <t>Tamara Campbell</t>
  </si>
  <si>
    <t>Jason Lopez</t>
  </si>
  <si>
    <t>Amy Hill</t>
  </si>
  <si>
    <t>Dr. Michael Brown DDS</t>
  </si>
  <si>
    <t>Michael Baldwin</t>
  </si>
  <si>
    <t>Emily Figueroa</t>
  </si>
  <si>
    <t>Jennifer Johnson</t>
  </si>
  <si>
    <t>Beverly Brown</t>
  </si>
  <si>
    <t>Terry Garcia</t>
  </si>
  <si>
    <t>Scott Dean</t>
  </si>
  <si>
    <t>Jacob White</t>
  </si>
  <si>
    <t>Jenny Henry</t>
  </si>
  <si>
    <t>Edward Watts</t>
  </si>
  <si>
    <t>Patrick Lee DVM</t>
  </si>
  <si>
    <t>Roy Parks</t>
  </si>
  <si>
    <t>Jeffrey Welch</t>
  </si>
  <si>
    <t>Donald Vance</t>
  </si>
  <si>
    <t>Barbara Ingram</t>
  </si>
  <si>
    <t>Henry Roth</t>
  </si>
  <si>
    <t>Jon Smith</t>
  </si>
  <si>
    <t>Victor Harrison</t>
  </si>
  <si>
    <t>Diane Hogan</t>
  </si>
  <si>
    <t>Andrew Sellers</t>
  </si>
  <si>
    <t>Natalie Diaz DVM</t>
  </si>
  <si>
    <t>Kyle Trevino</t>
  </si>
  <si>
    <t>Mrs. Alison Richardson MD</t>
  </si>
  <si>
    <t>Nathan Harrison</t>
  </si>
  <si>
    <t>William Johnson</t>
  </si>
  <si>
    <t>Megan Floyd</t>
  </si>
  <si>
    <t>Tanya Washington</t>
  </si>
  <si>
    <t>Austin Wright</t>
  </si>
  <si>
    <t>Mrs. Amber Weaver</t>
  </si>
  <si>
    <t>John Pruitt</t>
  </si>
  <si>
    <t>Maria Carter</t>
  </si>
  <si>
    <t>Brad Mcclure</t>
  </si>
  <si>
    <t>Justin Richmond</t>
  </si>
  <si>
    <t>Taylor Shepard</t>
  </si>
  <si>
    <t>Catherine Roberts</t>
  </si>
  <si>
    <t>John Erickson</t>
  </si>
  <si>
    <t>Craig Williams</t>
  </si>
  <si>
    <t>Shari Caldwell</t>
  </si>
  <si>
    <t>Colleen Williams</t>
  </si>
  <si>
    <t>Meredith Aguilar</t>
  </si>
  <si>
    <t>Julie Horn</t>
  </si>
  <si>
    <t>Jonathan Roth</t>
  </si>
  <si>
    <t>Sophia Harper</t>
  </si>
  <si>
    <t>Kimberly King</t>
  </si>
  <si>
    <t>Phillip Jenkins</t>
  </si>
  <si>
    <t>Matthew Larson</t>
  </si>
  <si>
    <t>Daniel Cook</t>
  </si>
  <si>
    <t>Sarah Martinez</t>
  </si>
  <si>
    <t>Jacqueline Jones</t>
  </si>
  <si>
    <t>Lisa Chen</t>
  </si>
  <si>
    <t>Harry Nichols III</t>
  </si>
  <si>
    <t>Michael Guzman</t>
  </si>
  <si>
    <t>Daniel Chambers</t>
  </si>
  <si>
    <t>Heather Newman</t>
  </si>
  <si>
    <t>Jason Fisher</t>
  </si>
  <si>
    <t>Benjamin Reed</t>
  </si>
  <si>
    <t>Alexander Caldwell</t>
  </si>
  <si>
    <t>Tracy Gilmore</t>
  </si>
  <si>
    <t>Michael Brennan Jr.</t>
  </si>
  <si>
    <t>Jason Booker</t>
  </si>
  <si>
    <t>Dakota Solis</t>
  </si>
  <si>
    <t>Seth Wagner</t>
  </si>
  <si>
    <t>Mr. Omar Lee Jr.</t>
  </si>
  <si>
    <t>Ashley Swanson</t>
  </si>
  <si>
    <t>Sarah Reilly</t>
  </si>
  <si>
    <t>Joanna Roman</t>
  </si>
  <si>
    <t>Kathy Long</t>
  </si>
  <si>
    <t>Theresa Smith</t>
  </si>
  <si>
    <t>Erin Gomez</t>
  </si>
  <si>
    <t>Kimberly Sullivan</t>
  </si>
  <si>
    <t>Alicia Williams</t>
  </si>
  <si>
    <t>Theresa Foster</t>
  </si>
  <si>
    <t>April Johnson</t>
  </si>
  <si>
    <t>Dr. Gary Hess</t>
  </si>
  <si>
    <t>Thomas Jackson</t>
  </si>
  <si>
    <t>Shawn Holden</t>
  </si>
  <si>
    <t>Andre Riley</t>
  </si>
  <si>
    <t>Mark Valentine</t>
  </si>
  <si>
    <t>Jacqueline Casey</t>
  </si>
  <si>
    <t>Laura Banks</t>
  </si>
  <si>
    <t>Andrea Allen</t>
  </si>
  <si>
    <t>Barbara Short</t>
  </si>
  <si>
    <t>Jack Ingram</t>
  </si>
  <si>
    <t>Toni Martinez</t>
  </si>
  <si>
    <t>Samantha Snyder</t>
  </si>
  <si>
    <t>Brenda Moore</t>
  </si>
  <si>
    <t>Brittany Mendoza</t>
  </si>
  <si>
    <t>Joseph Patel</t>
  </si>
  <si>
    <t>Pamela Moody</t>
  </si>
  <si>
    <t>Jennifer Miller</t>
  </si>
  <si>
    <t>John Lee MD</t>
  </si>
  <si>
    <t>Dylan Faulkner</t>
  </si>
  <si>
    <t>Ronald Allen</t>
  </si>
  <si>
    <t>Derek Hall</t>
  </si>
  <si>
    <t>William Petty</t>
  </si>
  <si>
    <t>Sabrina Taylor</t>
  </si>
  <si>
    <t>Brian Perkins</t>
  </si>
  <si>
    <t>Lawrence Reid</t>
  </si>
  <si>
    <t>Pamela Rose</t>
  </si>
  <si>
    <t>Francisco Buchanan</t>
  </si>
  <si>
    <t>Teresa Brock</t>
  </si>
  <si>
    <t>Deanna Foster</t>
  </si>
  <si>
    <t>Timothy Hart</t>
  </si>
  <si>
    <t>Jean Smith</t>
  </si>
  <si>
    <t>Lori Rivers</t>
  </si>
  <si>
    <t>Anthony Herman</t>
  </si>
  <si>
    <t>Lisa Barr</t>
  </si>
  <si>
    <t>Theresa Wright</t>
  </si>
  <si>
    <t>Rachel Buchanan</t>
  </si>
  <si>
    <t>Kimberly Warner</t>
  </si>
  <si>
    <t>Caleb Edwards</t>
  </si>
  <si>
    <t>Donald Young</t>
  </si>
  <si>
    <t>Marisa Davis</t>
  </si>
  <si>
    <t>Joshua Davis</t>
  </si>
  <si>
    <t>Vincent Moore</t>
  </si>
  <si>
    <t>Connie Bradley</t>
  </si>
  <si>
    <t>Maria Hudson</t>
  </si>
  <si>
    <t>Jacqueline Sanchez</t>
  </si>
  <si>
    <t>Rebecca Reyes</t>
  </si>
  <si>
    <t>Allison Jennings</t>
  </si>
  <si>
    <t>Shawn Donaldson</t>
  </si>
  <si>
    <t>Matthew Woods</t>
  </si>
  <si>
    <t>Sergio Ruiz</t>
  </si>
  <si>
    <t>Brianna Fisher</t>
  </si>
  <si>
    <t>Mark Wilson</t>
  </si>
  <si>
    <t>Randy Matthews</t>
  </si>
  <si>
    <t>Jennifer Reese</t>
  </si>
  <si>
    <t>Lindsey Figueroa</t>
  </si>
  <si>
    <t>Leslie Ross</t>
  </si>
  <si>
    <t>Jennifer Bruce</t>
  </si>
  <si>
    <t>William Andersen</t>
  </si>
  <si>
    <t>Susan Carpenter</t>
  </si>
  <si>
    <t>Brandon Harrison</t>
  </si>
  <si>
    <t>Keith White</t>
  </si>
  <si>
    <t>James Rowe</t>
  </si>
  <si>
    <t>Kelly Dorsey</t>
  </si>
  <si>
    <t>Tina Morales</t>
  </si>
  <si>
    <t>William Schneider</t>
  </si>
  <si>
    <t>Jeremiah Gonzales</t>
  </si>
  <si>
    <t>Robert Evans</t>
  </si>
  <si>
    <t>Jake Kaiser</t>
  </si>
  <si>
    <t>Vanessa Lynch</t>
  </si>
  <si>
    <t>Jamie Garcia</t>
  </si>
  <si>
    <t>Katrina Mccoy</t>
  </si>
  <si>
    <t>Jennifer Smith</t>
  </si>
  <si>
    <t>Evan Brown</t>
  </si>
  <si>
    <t>John Woods</t>
  </si>
  <si>
    <t>Lisa Robinson</t>
  </si>
  <si>
    <t>Wayne Garza</t>
  </si>
  <si>
    <t>Kimberly Rhodes</t>
  </si>
  <si>
    <t>Becky Thomas</t>
  </si>
  <si>
    <t>Elizabeth Martinez</t>
  </si>
  <si>
    <t>Bethany Pham</t>
  </si>
  <si>
    <t>Daniel Patterson</t>
  </si>
  <si>
    <t>Rachael Sheppard</t>
  </si>
  <si>
    <t>Kelli Wilson</t>
  </si>
  <si>
    <t>Christopher Wall</t>
  </si>
  <si>
    <t>Sheila Jones</t>
  </si>
  <si>
    <t>Laurie Adams</t>
  </si>
  <si>
    <t>Erin Hawkins</t>
  </si>
  <si>
    <t>Dr. Amy Green</t>
  </si>
  <si>
    <t>Leslie Wright</t>
  </si>
  <si>
    <t>Ann Montoya</t>
  </si>
  <si>
    <t>Joshua Salinas</t>
  </si>
  <si>
    <t>Katherine Allen</t>
  </si>
  <si>
    <t>Denise Lopez</t>
  </si>
  <si>
    <t>Cassandra Strickland</t>
  </si>
  <si>
    <t>Latoya Ruiz</t>
  </si>
  <si>
    <t>Allison Sullivan</t>
  </si>
  <si>
    <t>Vanessa Hamilton</t>
  </si>
  <si>
    <t>Christopher Kennedy</t>
  </si>
  <si>
    <t>Jennifer Wilkins</t>
  </si>
  <si>
    <t>Elijah Booth</t>
  </si>
  <si>
    <t>Mary Caldwell</t>
  </si>
  <si>
    <t>Linda Thornton</t>
  </si>
  <si>
    <t>Russell Franco</t>
  </si>
  <si>
    <t>Trevor Watkins</t>
  </si>
  <si>
    <t>Paul Johnson</t>
  </si>
  <si>
    <t>Tracy Martinez</t>
  </si>
  <si>
    <t>Claire Watson</t>
  </si>
  <si>
    <t>Edward Kim</t>
  </si>
  <si>
    <t>Lisa Newman</t>
  </si>
  <si>
    <t>Lisa Coleman</t>
  </si>
  <si>
    <t>Robert Rodriguez</t>
  </si>
  <si>
    <t>Brian Hoover</t>
  </si>
  <si>
    <t>Mark Dawson</t>
  </si>
  <si>
    <t>Stephen Marshall</t>
  </si>
  <si>
    <t>Dakota Hill</t>
  </si>
  <si>
    <t>Jordan Hall</t>
  </si>
  <si>
    <t>Daniel Alexander</t>
  </si>
  <si>
    <t>Kirk Smith</t>
  </si>
  <si>
    <t>Ethan Thompson</t>
  </si>
  <si>
    <t>Keith Long</t>
  </si>
  <si>
    <t>Dana Adkins</t>
  </si>
  <si>
    <t>Hannah Patton</t>
  </si>
  <si>
    <t>Timothy Tucker</t>
  </si>
  <si>
    <t>Logan Contreras</t>
  </si>
  <si>
    <t>Colin Riley</t>
  </si>
  <si>
    <t>Eduardo Moore</t>
  </si>
  <si>
    <t>Michael Barron</t>
  </si>
  <si>
    <t>Ashley Stevens</t>
  </si>
  <si>
    <t>Maurice Smith</t>
  </si>
  <si>
    <t>South</t>
  </si>
  <si>
    <t>West</t>
  </si>
  <si>
    <t>East</t>
  </si>
  <si>
    <t>North</t>
  </si>
  <si>
    <t>Laptop</t>
  </si>
  <si>
    <t>Phone</t>
  </si>
  <si>
    <t>Headphones</t>
  </si>
  <si>
    <t>Camera</t>
  </si>
  <si>
    <t>Tablet</t>
  </si>
  <si>
    <t>Smartwatch</t>
  </si>
  <si>
    <t>profit</t>
  </si>
  <si>
    <t>Grand Total</t>
  </si>
  <si>
    <t>Unit Sold</t>
  </si>
  <si>
    <t>Total profit</t>
  </si>
  <si>
    <t>Average Sales</t>
  </si>
  <si>
    <t>Row Labels</t>
  </si>
  <si>
    <t>Sum of Total_Sale</t>
  </si>
  <si>
    <t>Sum of profit</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</si>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</sst>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43" fontId="0" fillId="0" borderId="1" xfId="1" applyFont="1" applyBorder="1"/>
    <xf numFmtId="0" fontId="1" fillId="2" borderId="1" xfId="0" applyFont="1" applyFill="1" applyBorder="1" applyAlignment="1">
      <alignment horizontal="left" indent="3"/>
    </xf>
    <xf numFmtId="0" fontId="1" fillId="2" borderId="1" xfId="0" applyFont="1" applyFill="1" applyBorder="1" applyAlignment="1">
      <alignment horizontal="left" indent="2"/>
    </xf>
    <xf numFmtId="0" fontId="0" fillId="0" borderId="1" xfId="0" pivotButton="1" applyBorder="1"/>
    <xf numFmtId="0" fontId="0" fillId="0" borderId="1" xfId="0" applyBorder="1"/>
    <xf numFmtId="0" fontId="0" fillId="0" borderId="1" xfId="0" applyBorder="1" applyAlignment="1">
      <alignment horizontal="left"/>
    </xf>
    <xf numFmtId="2" fontId="0" fillId="0" borderId="1" xfId="0" applyNumberFormat="1" applyBorder="1"/>
    <xf numFmtId="43" fontId="0" fillId="0" borderId="0" xfId="0" applyNumberFormat="1"/>
  </cellXfs>
  <cellStyles count="2">
    <cellStyle name="Comma" xfId="1" builtinId="3"/>
    <cellStyle name="Normal" xfId="0" builtinId="0"/>
  </cellStyles>
  <dxfs count="4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[KEERTHIGA_DASHBOARD.xlsx]Pivot Table!PivotTable1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r>
              <a:rPr lang="en-IN" baseline="0"/>
              <a:t> Sale</a:t>
            </a:r>
          </a:p>
          <a:p>
            <a:pPr>
              <a:defRPr/>
            </a:pPr>
            <a:endParaRPr lang="en-IN"/>
          </a:p>
        </c:rich>
      </c:tx>
      <c:layout>
        <c:manualLayout>
          <c:xMode val="edge"/>
          <c:yMode val="edge"/>
          <c:x val="0.40080555555555553"/>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266426071741036"/>
          <c:y val="0.30944225721784779"/>
          <c:w val="0.69148381452318464"/>
          <c:h val="0.3897193059200933"/>
        </c:manualLayout>
      </c:layout>
      <c:bar3D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Table'!$A$4:$A$8</c:f>
              <c:strCache>
                <c:ptCount val="4"/>
                <c:pt idx="0">
                  <c:v>East</c:v>
                </c:pt>
                <c:pt idx="1">
                  <c:v>North</c:v>
                </c:pt>
                <c:pt idx="2">
                  <c:v>South</c:v>
                </c:pt>
                <c:pt idx="3">
                  <c:v>West</c:v>
                </c:pt>
              </c:strCache>
            </c:strRef>
          </c:cat>
          <c:val>
            <c:numRef>
              <c:f>'Pivot Table'!$B$4:$B$8</c:f>
              <c:numCache>
                <c:formatCode>0.00</c:formatCode>
                <c:ptCount val="4"/>
                <c:pt idx="0">
                  <c:v>1245175.9299999995</c:v>
                </c:pt>
                <c:pt idx="1">
                  <c:v>1390175.7599999998</c:v>
                </c:pt>
                <c:pt idx="2">
                  <c:v>1373241.4100000006</c:v>
                </c:pt>
                <c:pt idx="3">
                  <c:v>1368237.0099999998</c:v>
                </c:pt>
              </c:numCache>
            </c:numRef>
          </c:val>
          <c:extLst>
            <c:ext xmlns:c16="http://schemas.microsoft.com/office/drawing/2014/chart" uri="{C3380CC4-5D6E-409C-BE32-E72D297353CC}">
              <c16:uniqueId val="{00000000-EFFD-4559-9B78-3D71D0293232}"/>
            </c:ext>
          </c:extLst>
        </c:ser>
        <c:dLbls>
          <c:showLegendKey val="0"/>
          <c:showVal val="0"/>
          <c:showCatName val="0"/>
          <c:showSerName val="0"/>
          <c:showPercent val="0"/>
          <c:showBubbleSize val="0"/>
        </c:dLbls>
        <c:gapWidth val="150"/>
        <c:shape val="box"/>
        <c:axId val="801805327"/>
        <c:axId val="801806287"/>
        <c:axId val="0"/>
      </c:bar3DChart>
      <c:catAx>
        <c:axId val="8018053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06287"/>
        <c:crosses val="autoZero"/>
        <c:auto val="1"/>
        <c:lblAlgn val="ctr"/>
        <c:lblOffset val="100"/>
        <c:noMultiLvlLbl val="0"/>
      </c:catAx>
      <c:valAx>
        <c:axId val="801806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05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[KEERTHIGA_DASHBOARD.xlsx]Pivot Table!PivotTable2</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Product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25951793525809275"/>
          <c:y val="0.31157188684747744"/>
          <c:w val="0.35472353455818023"/>
          <c:h val="0.5912058909303004"/>
        </c:manualLayout>
      </c:layout>
      <c:pieChart>
        <c:varyColors val="1"/>
        <c:ser>
          <c:idx val="0"/>
          <c:order val="0"/>
          <c:tx>
            <c:strRef>
              <c:f>'Pivot Table'!$F$3</c:f>
              <c:strCache>
                <c:ptCount val="1"/>
                <c:pt idx="0">
                  <c:v>Total</c:v>
                </c:pt>
              </c:strCache>
            </c:strRef>
          </c:tx>
          <c:explosion val="1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3A77-41B8-B35D-3C97280A829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3A77-41B8-B35D-3C97280A829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3A77-41B8-B35D-3C97280A829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3A77-41B8-B35D-3C97280A829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3A77-41B8-B35D-3C97280A829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3A77-41B8-B35D-3C97280A8294}"/>
              </c:ext>
            </c:extLst>
          </c:dPt>
          <c:cat>
            <c:strRef>
              <c:f>'Pivot Table'!$E$4:$E$10</c:f>
              <c:strCache>
                <c:ptCount val="6"/>
                <c:pt idx="0">
                  <c:v>Camera</c:v>
                </c:pt>
                <c:pt idx="1">
                  <c:v>Headphones</c:v>
                </c:pt>
                <c:pt idx="2">
                  <c:v>Laptop</c:v>
                </c:pt>
                <c:pt idx="3">
                  <c:v>Phone</c:v>
                </c:pt>
                <c:pt idx="4">
                  <c:v>Smartwatch</c:v>
                </c:pt>
                <c:pt idx="5">
                  <c:v>Tablet</c:v>
                </c:pt>
              </c:strCache>
            </c:strRef>
          </c:cat>
          <c:val>
            <c:numRef>
              <c:f>'Pivot Table'!$F$4:$F$10</c:f>
              <c:numCache>
                <c:formatCode>General</c:formatCode>
                <c:ptCount val="6"/>
                <c:pt idx="0">
                  <c:v>989689.03</c:v>
                </c:pt>
                <c:pt idx="1">
                  <c:v>743226.61999999988</c:v>
                </c:pt>
                <c:pt idx="2">
                  <c:v>891605.70000000019</c:v>
                </c:pt>
                <c:pt idx="3">
                  <c:v>912974.76000000013</c:v>
                </c:pt>
                <c:pt idx="4">
                  <c:v>838600.38999999966</c:v>
                </c:pt>
                <c:pt idx="5">
                  <c:v>1000733.6100000003</c:v>
                </c:pt>
              </c:numCache>
            </c:numRef>
          </c:val>
          <c:extLst>
            <c:ext xmlns:c16="http://schemas.microsoft.com/office/drawing/2014/chart" uri="{C3380CC4-5D6E-409C-BE32-E72D297353CC}">
              <c16:uniqueId val="{0000000C-3A77-41B8-B35D-3C97280A829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320384951881013"/>
          <c:y val="0.38958041703120444"/>
          <c:w val="0.17624059492563429"/>
          <c:h val="0.5360196121318168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[KEERTHIGA_DASHBOARD.xlsx]Pivot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Table'!$J$3</c:f>
              <c:strCache>
                <c:ptCount val="1"/>
                <c:pt idx="0">
                  <c:v>Sum of Total_Sale</c:v>
                </c:pt>
              </c:strCache>
            </c:strRef>
          </c:tx>
          <c:spPr>
            <a:solidFill>
              <a:schemeClr val="accent1"/>
            </a:solidFill>
            <a:ln>
              <a:noFill/>
            </a:ln>
            <a:effectLst/>
            <a:sp3d/>
          </c:spPr>
          <c:invertIfNegative val="0"/>
          <c:cat>
            <c:strRef>
              <c:f>'Pivot Table'!$I$4:$I$24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Table'!$J$4:$J$24</c:f>
              <c:numCache>
                <c:formatCode>General</c:formatCode>
                <c:ptCount val="20"/>
                <c:pt idx="0">
                  <c:v>25383.329999999994</c:v>
                </c:pt>
                <c:pt idx="1">
                  <c:v>68196.099999999991</c:v>
                </c:pt>
                <c:pt idx="2">
                  <c:v>57482.790000000008</c:v>
                </c:pt>
                <c:pt idx="3">
                  <c:v>100760.19999999998</c:v>
                </c:pt>
                <c:pt idx="4">
                  <c:v>122123.70000000001</c:v>
                </c:pt>
                <c:pt idx="5">
                  <c:v>138278.69999999998</c:v>
                </c:pt>
                <c:pt idx="6">
                  <c:v>146499.07999999999</c:v>
                </c:pt>
                <c:pt idx="7">
                  <c:v>183723.43999999997</c:v>
                </c:pt>
                <c:pt idx="8">
                  <c:v>224698.59</c:v>
                </c:pt>
                <c:pt idx="9">
                  <c:v>258817.19999999998</c:v>
                </c:pt>
                <c:pt idx="10">
                  <c:v>361007.02</c:v>
                </c:pt>
                <c:pt idx="11">
                  <c:v>218410.68</c:v>
                </c:pt>
                <c:pt idx="12">
                  <c:v>348111.40000000008</c:v>
                </c:pt>
                <c:pt idx="13">
                  <c:v>298207.14000000007</c:v>
                </c:pt>
                <c:pt idx="14">
                  <c:v>324052.64999999997</c:v>
                </c:pt>
                <c:pt idx="15">
                  <c:v>330938.08</c:v>
                </c:pt>
                <c:pt idx="16">
                  <c:v>543971.43999999994</c:v>
                </c:pt>
                <c:pt idx="17">
                  <c:v>611841.42000000004</c:v>
                </c:pt>
                <c:pt idx="18">
                  <c:v>496843.34999999992</c:v>
                </c:pt>
                <c:pt idx="19">
                  <c:v>517483.8</c:v>
                </c:pt>
              </c:numCache>
            </c:numRef>
          </c:val>
          <c:extLst>
            <c:ext xmlns:c16="http://schemas.microsoft.com/office/drawing/2014/chart" uri="{C3380CC4-5D6E-409C-BE32-E72D297353CC}">
              <c16:uniqueId val="{00000000-ACD0-4887-9A45-6852B02CF7AE}"/>
            </c:ext>
          </c:extLst>
        </c:ser>
        <c:ser>
          <c:idx val="1"/>
          <c:order val="1"/>
          <c:tx>
            <c:strRef>
              <c:f>'Pivot Table'!$K$3</c:f>
              <c:strCache>
                <c:ptCount val="1"/>
                <c:pt idx="0">
                  <c:v>Sum of profit</c:v>
                </c:pt>
              </c:strCache>
            </c:strRef>
          </c:tx>
          <c:spPr>
            <a:solidFill>
              <a:schemeClr val="accent2"/>
            </a:solidFill>
            <a:ln>
              <a:noFill/>
            </a:ln>
            <a:effectLst/>
            <a:sp3d/>
          </c:spPr>
          <c:invertIfNegative val="0"/>
          <c:cat>
            <c:strRef>
              <c:f>'Pivot Table'!$I$4:$I$24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Table'!$K$4:$K$24</c:f>
              <c:numCache>
                <c:formatCode>General</c:formatCode>
                <c:ptCount val="20"/>
                <c:pt idx="0">
                  <c:v>6935.9899999999971</c:v>
                </c:pt>
                <c:pt idx="1">
                  <c:v>16953.680000000004</c:v>
                </c:pt>
                <c:pt idx="2">
                  <c:v>13320.450000000003</c:v>
                </c:pt>
                <c:pt idx="3">
                  <c:v>24757.239999999998</c:v>
                </c:pt>
                <c:pt idx="4">
                  <c:v>28982.1</c:v>
                </c:pt>
                <c:pt idx="5">
                  <c:v>33176.46</c:v>
                </c:pt>
                <c:pt idx="6">
                  <c:v>34461.000000000007</c:v>
                </c:pt>
                <c:pt idx="7">
                  <c:v>42130.959999999992</c:v>
                </c:pt>
                <c:pt idx="8">
                  <c:v>54217.260000000009</c:v>
                </c:pt>
                <c:pt idx="9">
                  <c:v>64790.099999999991</c:v>
                </c:pt>
                <c:pt idx="10">
                  <c:v>96866.439999999973</c:v>
                </c:pt>
                <c:pt idx="11">
                  <c:v>59630.639999999992</c:v>
                </c:pt>
                <c:pt idx="12">
                  <c:v>92445.209999999992</c:v>
                </c:pt>
                <c:pt idx="13">
                  <c:v>76482.7</c:v>
                </c:pt>
                <c:pt idx="14">
                  <c:v>91531.349999999991</c:v>
                </c:pt>
                <c:pt idx="15">
                  <c:v>94151.680000000008</c:v>
                </c:pt>
                <c:pt idx="16">
                  <c:v>130725.24000000002</c:v>
                </c:pt>
                <c:pt idx="17">
                  <c:v>155533.85999999996</c:v>
                </c:pt>
                <c:pt idx="18">
                  <c:v>126452.59999999998</c:v>
                </c:pt>
                <c:pt idx="19">
                  <c:v>128897.40000000001</c:v>
                </c:pt>
              </c:numCache>
            </c:numRef>
          </c:val>
          <c:extLst>
            <c:ext xmlns:c16="http://schemas.microsoft.com/office/drawing/2014/chart" uri="{C3380CC4-5D6E-409C-BE32-E72D297353CC}">
              <c16:uniqueId val="{00000001-ACD0-4887-9A45-6852B02CF7AE}"/>
            </c:ext>
          </c:extLst>
        </c:ser>
        <c:dLbls>
          <c:showLegendKey val="0"/>
          <c:showVal val="0"/>
          <c:showCatName val="0"/>
          <c:showSerName val="0"/>
          <c:showPercent val="0"/>
          <c:showBubbleSize val="0"/>
        </c:dLbls>
        <c:gapWidth val="150"/>
        <c:shape val="box"/>
        <c:axId val="995240911"/>
        <c:axId val="995241391"/>
        <c:axId val="0"/>
      </c:bar3DChart>
      <c:catAx>
        <c:axId val="995240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241391"/>
        <c:crosses val="autoZero"/>
        <c:auto val="1"/>
        <c:lblAlgn val="ctr"/>
        <c:lblOffset val="100"/>
        <c:noMultiLvlLbl val="0"/>
      </c:catAx>
      <c:valAx>
        <c:axId val="99524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2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[KEERTHIGA_DASHBOARD.xlsx]Pivot Table!PivotTable4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Profit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502559055118112"/>
          <c:y val="0.25865522018081066"/>
          <c:w val="0.49252537182852141"/>
          <c:h val="0.6293157626130067"/>
        </c:manualLayout>
      </c:layout>
      <c:bar3DChart>
        <c:barDir val="bar"/>
        <c:grouping val="clustered"/>
        <c:varyColors val="0"/>
        <c:ser>
          <c:idx val="0"/>
          <c:order val="0"/>
          <c:tx>
            <c:strRef>
              <c:f>'Pivot Table'!$B$13</c:f>
              <c:strCache>
                <c:ptCount val="1"/>
                <c:pt idx="0">
                  <c:v>Total</c:v>
                </c:pt>
              </c:strCache>
            </c:strRef>
          </c:tx>
          <c:spPr>
            <a:solidFill>
              <a:schemeClr val="accent1"/>
            </a:solidFill>
            <a:ln>
              <a:noFill/>
            </a:ln>
            <a:effectLst/>
            <a:sp3d/>
          </c:spPr>
          <c:invertIfNegative val="0"/>
          <c:cat>
            <c:strRef>
              <c:f>'Pivot Table'!$A$14:$A$20</c:f>
              <c:strCache>
                <c:ptCount val="6"/>
                <c:pt idx="0">
                  <c:v>Camera</c:v>
                </c:pt>
                <c:pt idx="1">
                  <c:v>Headphones</c:v>
                </c:pt>
                <c:pt idx="2">
                  <c:v>Laptop</c:v>
                </c:pt>
                <c:pt idx="3">
                  <c:v>Phone</c:v>
                </c:pt>
                <c:pt idx="4">
                  <c:v>Smartwatch</c:v>
                </c:pt>
                <c:pt idx="5">
                  <c:v>Tablet</c:v>
                </c:pt>
              </c:strCache>
            </c:strRef>
          </c:cat>
          <c:val>
            <c:numRef>
              <c:f>'Pivot Table'!$B$14:$B$20</c:f>
              <c:numCache>
                <c:formatCode>0.00</c:formatCode>
                <c:ptCount val="6"/>
                <c:pt idx="0">
                  <c:v>229239.78</c:v>
                </c:pt>
                <c:pt idx="1">
                  <c:v>188630.15999999995</c:v>
                </c:pt>
                <c:pt idx="2">
                  <c:v>231688.78000000009</c:v>
                </c:pt>
                <c:pt idx="3">
                  <c:v>233704.15999999992</c:v>
                </c:pt>
                <c:pt idx="4">
                  <c:v>230897.31</c:v>
                </c:pt>
                <c:pt idx="5">
                  <c:v>258282.17000000016</c:v>
                </c:pt>
              </c:numCache>
            </c:numRef>
          </c:val>
          <c:extLst>
            <c:ext xmlns:c16="http://schemas.microsoft.com/office/drawing/2014/chart" uri="{C3380CC4-5D6E-409C-BE32-E72D297353CC}">
              <c16:uniqueId val="{00000000-2A89-4B95-9BA9-2EB33EA8EF2F}"/>
            </c:ext>
          </c:extLst>
        </c:ser>
        <c:dLbls>
          <c:showLegendKey val="0"/>
          <c:showVal val="0"/>
          <c:showCatName val="0"/>
          <c:showSerName val="0"/>
          <c:showPercent val="0"/>
          <c:showBubbleSize val="0"/>
        </c:dLbls>
        <c:gapWidth val="150"/>
        <c:shape val="box"/>
        <c:axId val="892059279"/>
        <c:axId val="892059759"/>
        <c:axId val="0"/>
      </c:bar3DChart>
      <c:catAx>
        <c:axId val="8920592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59759"/>
        <c:crosses val="autoZero"/>
        <c:auto val="1"/>
        <c:lblAlgn val="ctr"/>
        <c:lblOffset val="100"/>
        <c:noMultiLvlLbl val="0"/>
      </c:catAx>
      <c:valAx>
        <c:axId val="89205975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5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[KEERTHIGA_DASHBOARD.xlsx]Pivot Table!PivotTable7</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Profit</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878848087914242"/>
          <c:y val="0.34855679498396031"/>
          <c:w val="0.36559104177398388"/>
          <c:h val="0.5433089093030038"/>
        </c:manualLayout>
      </c:layout>
      <c:doughnutChart>
        <c:varyColors val="1"/>
        <c:ser>
          <c:idx val="0"/>
          <c:order val="0"/>
          <c:tx>
            <c:strRef>
              <c:f>'Pivot Table'!$B$25</c:f>
              <c:strCache>
                <c:ptCount val="1"/>
                <c:pt idx="0">
                  <c:v>Total</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74-4264-974E-FEBCD51EADDD}"/>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74-4264-974E-FEBCD51EAD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Table'!$A$26:$A$28</c:f>
              <c:strCache>
                <c:ptCount val="2"/>
                <c:pt idx="0">
                  <c:v>2024</c:v>
                </c:pt>
                <c:pt idx="1">
                  <c:v>2025</c:v>
                </c:pt>
              </c:strCache>
            </c:strRef>
          </c:cat>
          <c:val>
            <c:numRef>
              <c:f>'Pivot Table'!$B$26:$B$28</c:f>
              <c:numCache>
                <c:formatCode>General</c:formatCode>
                <c:ptCount val="2"/>
                <c:pt idx="0">
                  <c:v>363109.06999999983</c:v>
                </c:pt>
                <c:pt idx="1">
                  <c:v>1009333.29</c:v>
                </c:pt>
              </c:numCache>
            </c:numRef>
          </c:val>
          <c:extLst>
            <c:ext xmlns:c16="http://schemas.microsoft.com/office/drawing/2014/chart" uri="{C3380CC4-5D6E-409C-BE32-E72D297353CC}">
              <c16:uniqueId val="{00000004-2A74-4264-974E-FEBCD51EADD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43055555555556"/>
          <c:y val="0.43476305045202684"/>
          <c:w val="0.23130841121495327"/>
          <c:h val="0.27482575094779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[KEERTHIGA_DASHBOARD.xlsx]Pivot Table!PivotTable1</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266426071741036"/>
          <c:y val="0.30944225721784779"/>
          <c:w val="0.69148381452318464"/>
          <c:h val="0.3897193059200933"/>
        </c:manualLayout>
      </c:layout>
      <c:bar3DChart>
        <c:barDir val="col"/>
        <c:grouping val="clustered"/>
        <c:varyColors val="0"/>
        <c:ser>
          <c:idx val="0"/>
          <c:order val="0"/>
          <c:tx>
            <c:strRef>
              <c:f>'Pivot Table'!$B$3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 Table'!$A$4:$A$8</c:f>
              <c:strCache>
                <c:ptCount val="4"/>
                <c:pt idx="0">
                  <c:v>East</c:v>
                </c:pt>
                <c:pt idx="1">
                  <c:v>North</c:v>
                </c:pt>
                <c:pt idx="2">
                  <c:v>South</c:v>
                </c:pt>
                <c:pt idx="3">
                  <c:v>West</c:v>
                </c:pt>
              </c:strCache>
            </c:strRef>
          </c:cat>
          <c:val>
            <c:numRef>
              <c:f>'Pivot Table'!$B$4:$B$8</c:f>
              <c:numCache>
                <c:formatCode>0.00</c:formatCode>
                <c:ptCount val="4"/>
                <c:pt idx="0">
                  <c:v>1245175.9299999995</c:v>
                </c:pt>
                <c:pt idx="1">
                  <c:v>1390175.7599999998</c:v>
                </c:pt>
                <c:pt idx="2">
                  <c:v>1373241.4100000006</c:v>
                </c:pt>
                <c:pt idx="3">
                  <c:v>1368237.0099999998</c:v>
                </c:pt>
              </c:numCache>
            </c:numRef>
          </c:val>
          <c:extLst>
            <c:ext xmlns:c16="http://schemas.microsoft.com/office/drawing/2014/chart" uri="{C3380CC4-5D6E-409C-BE32-E72D297353CC}">
              <c16:uniqueId val="{00000000-FDFE-4A23-8AE3-4354D5BAD5C5}"/>
            </c:ext>
          </c:extLst>
        </c:ser>
        <c:dLbls>
          <c:showLegendKey val="0"/>
          <c:showVal val="0"/>
          <c:showCatName val="0"/>
          <c:showSerName val="0"/>
          <c:showPercent val="0"/>
          <c:showBubbleSize val="0"/>
        </c:dLbls>
        <c:gapWidth val="150"/>
        <c:gapDepth val="0"/>
        <c:shape val="box"/>
        <c:axId val="801805327"/>
        <c:axId val="801806287"/>
        <c:axId val="0"/>
      </c:bar3DChart>
      <c:catAx>
        <c:axId val="801805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06287"/>
        <c:crosses val="autoZero"/>
        <c:auto val="1"/>
        <c:lblAlgn val="ctr"/>
        <c:lblOffset val="100"/>
        <c:noMultiLvlLbl val="0"/>
      </c:catAx>
      <c:valAx>
        <c:axId val="801806287"/>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0532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[KEERTHIGA_DASHBOARD.xlsx]Pivot Table!PivotTable7</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PROFIT</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hade val="76000"/>
            </a:schemeClr>
          </a:solidFill>
          <a:ln>
            <a:noFill/>
          </a:ln>
          <a:effectLst>
            <a:outerShdw blurRad="317500" algn="ctr" rotWithShape="0">
              <a:prstClr val="black">
                <a:alpha val="25000"/>
              </a:prstClr>
            </a:outerShdw>
          </a:effectLst>
        </c:spPr>
      </c:pivotFmt>
      <c:pivotFmt>
        <c:idx val="12"/>
        <c:spPr>
          <a:solidFill>
            <a:schemeClr val="accent2">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9.9623754726304733E-2"/>
          <c:y val="0.24980599661612551"/>
          <c:w val="0.62058569925884999"/>
          <c:h val="0.67882719463786034"/>
        </c:manualLayout>
      </c:layout>
      <c:doughnutChart>
        <c:varyColors val="1"/>
        <c:ser>
          <c:idx val="0"/>
          <c:order val="0"/>
          <c:tx>
            <c:strRef>
              <c:f>'Pivot Table'!$B$25</c:f>
              <c:strCache>
                <c:ptCount val="1"/>
                <c:pt idx="0">
                  <c:v>Total</c:v>
                </c:pt>
              </c:strCache>
            </c:strRef>
          </c:tx>
          <c:dPt>
            <c:idx val="0"/>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50A-48AD-89A5-BF7357D9B566}"/>
              </c:ext>
            </c:extLst>
          </c:dPt>
          <c:dPt>
            <c:idx val="1"/>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50A-48AD-89A5-BF7357D9B566}"/>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Table'!$A$26:$A$28</c:f>
              <c:strCache>
                <c:ptCount val="2"/>
                <c:pt idx="0">
                  <c:v>2024</c:v>
                </c:pt>
                <c:pt idx="1">
                  <c:v>2025</c:v>
                </c:pt>
              </c:strCache>
            </c:strRef>
          </c:cat>
          <c:val>
            <c:numRef>
              <c:f>'Pivot Table'!$B$26:$B$28</c:f>
              <c:numCache>
                <c:formatCode>General</c:formatCode>
                <c:ptCount val="2"/>
                <c:pt idx="0">
                  <c:v>363109.06999999983</c:v>
                </c:pt>
                <c:pt idx="1">
                  <c:v>1009333.29</c:v>
                </c:pt>
              </c:numCache>
            </c:numRef>
          </c:val>
          <c:extLst>
            <c:ext xmlns:c16="http://schemas.microsoft.com/office/drawing/2014/chart" uri="{C3380CC4-5D6E-409C-BE32-E72D297353CC}">
              <c16:uniqueId val="{00000004-250A-48AD-89A5-BF7357D9B566}"/>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7475761398804122"/>
          <c:y val="0.53975798027409794"/>
          <c:w val="0.20029834642622621"/>
          <c:h val="0.2179855861661394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[KEERTHIGA_DASHBOARD.xlsx]Pivot Table!PivotTable4</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889451712272016"/>
          <c:y val="0.23943272936034468"/>
          <c:w val="0.49252537182852141"/>
          <c:h val="0.6293157626130067"/>
        </c:manualLayout>
      </c:layout>
      <c:bar3DChart>
        <c:barDir val="bar"/>
        <c:grouping val="clustered"/>
        <c:varyColors val="0"/>
        <c:ser>
          <c:idx val="0"/>
          <c:order val="0"/>
          <c:tx>
            <c:strRef>
              <c:f>'Pivot Table'!$B$13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Table'!$A$14:$A$20</c:f>
              <c:strCache>
                <c:ptCount val="6"/>
                <c:pt idx="0">
                  <c:v>Camera</c:v>
                </c:pt>
                <c:pt idx="1">
                  <c:v>Headphones</c:v>
                </c:pt>
                <c:pt idx="2">
                  <c:v>Laptop</c:v>
                </c:pt>
                <c:pt idx="3">
                  <c:v>Phone</c:v>
                </c:pt>
                <c:pt idx="4">
                  <c:v>Smartwatch</c:v>
                </c:pt>
                <c:pt idx="5">
                  <c:v>Tablet</c:v>
                </c:pt>
              </c:strCache>
            </c:strRef>
          </c:cat>
          <c:val>
            <c:numRef>
              <c:f>'Pivot Table'!$B$14:$B$20</c:f>
              <c:numCache>
                <c:formatCode>0.00</c:formatCode>
                <c:ptCount val="6"/>
                <c:pt idx="0">
                  <c:v>229239.78</c:v>
                </c:pt>
                <c:pt idx="1">
                  <c:v>188630.15999999995</c:v>
                </c:pt>
                <c:pt idx="2">
                  <c:v>231688.78000000009</c:v>
                </c:pt>
                <c:pt idx="3">
                  <c:v>233704.15999999992</c:v>
                </c:pt>
                <c:pt idx="4">
                  <c:v>230897.31</c:v>
                </c:pt>
                <c:pt idx="5">
                  <c:v>258282.17000000016</c:v>
                </c:pt>
              </c:numCache>
            </c:numRef>
          </c:val>
          <c:extLst>
            <c:ext xmlns:c16="http://schemas.microsoft.com/office/drawing/2014/chart" uri="{C3380CC4-5D6E-409C-BE32-E72D297353CC}">
              <c16:uniqueId val="{00000000-6228-4DE9-AE70-395011AECEA9}"/>
            </c:ext>
          </c:extLst>
        </c:ser>
        <c:dLbls>
          <c:showLegendKey val="0"/>
          <c:showVal val="0"/>
          <c:showCatName val="0"/>
          <c:showSerName val="0"/>
          <c:showPercent val="0"/>
          <c:showBubbleSize val="0"/>
        </c:dLbls>
        <c:gapWidth val="65"/>
        <c:shape val="box"/>
        <c:axId val="892059279"/>
        <c:axId val="892059759"/>
        <c:axId val="0"/>
      </c:bar3DChart>
      <c:catAx>
        <c:axId val="892059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2059759"/>
        <c:crosses val="autoZero"/>
        <c:auto val="1"/>
        <c:lblAlgn val="ctr"/>
        <c:lblOffset val="100"/>
        <c:noMultiLvlLbl val="0"/>
      </c:catAx>
      <c:valAx>
        <c:axId val="89205975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20592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[KEERTHIGA_DASHBOARD.xlsx]Pivot Table!PivotTable2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1"/>
          <c:showVal val="1"/>
          <c:showCatName val="1"/>
          <c:showSerName val="1"/>
          <c:showPercent val="1"/>
          <c:showBubbleSize val="1"/>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822561039495679"/>
          <c:y val="0.21801462256837184"/>
          <c:w val="0.34785127438172392"/>
          <c:h val="0.65803241492677844"/>
        </c:manualLayout>
      </c:layout>
      <c:pieChart>
        <c:varyColors val="1"/>
        <c:ser>
          <c:idx val="0"/>
          <c:order val="0"/>
          <c:tx>
            <c:strRef>
              <c:f>'Pivot Table'!$F$3</c:f>
              <c:strCache>
                <c:ptCount val="1"/>
                <c:pt idx="0">
                  <c:v>Total</c:v>
                </c:pt>
              </c:strCache>
            </c:strRef>
          </c:tx>
          <c:explosion val="1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C2-4907-825A-6D31716A569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C2-4907-825A-6D31716A569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C2-4907-825A-6D31716A569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8C2-4907-825A-6D31716A569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8C2-4907-825A-6D31716A569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8C2-4907-825A-6D31716A56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Table'!$E$4:$E$10</c:f>
              <c:strCache>
                <c:ptCount val="6"/>
                <c:pt idx="0">
                  <c:v>Camera</c:v>
                </c:pt>
                <c:pt idx="1">
                  <c:v>Headphones</c:v>
                </c:pt>
                <c:pt idx="2">
                  <c:v>Laptop</c:v>
                </c:pt>
                <c:pt idx="3">
                  <c:v>Phone</c:v>
                </c:pt>
                <c:pt idx="4">
                  <c:v>Smartwatch</c:v>
                </c:pt>
                <c:pt idx="5">
                  <c:v>Tablet</c:v>
                </c:pt>
              </c:strCache>
            </c:strRef>
          </c:cat>
          <c:val>
            <c:numRef>
              <c:f>'Pivot Table'!$F$4:$F$10</c:f>
              <c:numCache>
                <c:formatCode>General</c:formatCode>
                <c:ptCount val="6"/>
                <c:pt idx="0">
                  <c:v>989689.03</c:v>
                </c:pt>
                <c:pt idx="1">
                  <c:v>743226.61999999988</c:v>
                </c:pt>
                <c:pt idx="2">
                  <c:v>891605.70000000019</c:v>
                </c:pt>
                <c:pt idx="3">
                  <c:v>912974.76000000013</c:v>
                </c:pt>
                <c:pt idx="4">
                  <c:v>838600.38999999966</c:v>
                </c:pt>
                <c:pt idx="5">
                  <c:v>1000733.6100000003</c:v>
                </c:pt>
              </c:numCache>
            </c:numRef>
          </c:val>
          <c:extLst>
            <c:ext xmlns:c16="http://schemas.microsoft.com/office/drawing/2014/chart" uri="{C3380CC4-5D6E-409C-BE32-E72D297353CC}">
              <c16:uniqueId val="{0000000C-C8C2-4907-825A-6D31716A569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36322637533002"/>
          <c:y val="0.26038232522831539"/>
          <c:w val="0.17624059492563429"/>
          <c:h val="0.536019612131816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[KEERTHIGA_DASHBOARD.xlsx]Pivot 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Table'!$J$3</c:f>
              <c:strCache>
                <c:ptCount val="1"/>
                <c:pt idx="0">
                  <c:v>Sum of Total_Sale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Table'!$I$4:$I$24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Table'!$J$4:$J$24</c:f>
              <c:numCache>
                <c:formatCode>General</c:formatCode>
                <c:ptCount val="20"/>
                <c:pt idx="0">
                  <c:v>25383.329999999994</c:v>
                </c:pt>
                <c:pt idx="1">
                  <c:v>68196.099999999991</c:v>
                </c:pt>
                <c:pt idx="2">
                  <c:v>57482.790000000008</c:v>
                </c:pt>
                <c:pt idx="3">
                  <c:v>100760.19999999998</c:v>
                </c:pt>
                <c:pt idx="4">
                  <c:v>122123.70000000001</c:v>
                </c:pt>
                <c:pt idx="5">
                  <c:v>138278.69999999998</c:v>
                </c:pt>
                <c:pt idx="6">
                  <c:v>146499.07999999999</c:v>
                </c:pt>
                <c:pt idx="7">
                  <c:v>183723.43999999997</c:v>
                </c:pt>
                <c:pt idx="8">
                  <c:v>224698.59</c:v>
                </c:pt>
                <c:pt idx="9">
                  <c:v>258817.19999999998</c:v>
                </c:pt>
                <c:pt idx="10">
                  <c:v>361007.02</c:v>
                </c:pt>
                <c:pt idx="11">
                  <c:v>218410.68</c:v>
                </c:pt>
                <c:pt idx="12">
                  <c:v>348111.40000000008</c:v>
                </c:pt>
                <c:pt idx="13">
                  <c:v>298207.14000000007</c:v>
                </c:pt>
                <c:pt idx="14">
                  <c:v>324052.64999999997</c:v>
                </c:pt>
                <c:pt idx="15">
                  <c:v>330938.08</c:v>
                </c:pt>
                <c:pt idx="16">
                  <c:v>543971.43999999994</c:v>
                </c:pt>
                <c:pt idx="17">
                  <c:v>611841.42000000004</c:v>
                </c:pt>
                <c:pt idx="18">
                  <c:v>496843.34999999992</c:v>
                </c:pt>
                <c:pt idx="19">
                  <c:v>517483.8</c:v>
                </c:pt>
              </c:numCache>
            </c:numRef>
          </c:val>
          <c:extLst>
            <c:ext xmlns:c16="http://schemas.microsoft.com/office/drawing/2014/chart" uri="{C3380CC4-5D6E-409C-BE32-E72D297353CC}">
              <c16:uniqueId val="{00000000-D2A6-4A4E-A4C3-8FA0188E28F1}"/>
            </c:ext>
          </c:extLst>
        </c:ser>
        <c:ser>
          <c:idx val="1"/>
          <c:order val="1"/>
          <c:tx>
            <c:strRef>
              <c:f>'Pivot Table'!$K$3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Table'!$I$4:$I$24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Table'!$K$4:$K$24</c:f>
              <c:numCache>
                <c:formatCode>General</c:formatCode>
                <c:ptCount val="20"/>
                <c:pt idx="0">
                  <c:v>6935.9899999999971</c:v>
                </c:pt>
                <c:pt idx="1">
                  <c:v>16953.680000000004</c:v>
                </c:pt>
                <c:pt idx="2">
                  <c:v>13320.450000000003</c:v>
                </c:pt>
                <c:pt idx="3">
                  <c:v>24757.239999999998</c:v>
                </c:pt>
                <c:pt idx="4">
                  <c:v>28982.1</c:v>
                </c:pt>
                <c:pt idx="5">
                  <c:v>33176.46</c:v>
                </c:pt>
                <c:pt idx="6">
                  <c:v>34461.000000000007</c:v>
                </c:pt>
                <c:pt idx="7">
                  <c:v>42130.959999999992</c:v>
                </c:pt>
                <c:pt idx="8">
                  <c:v>54217.260000000009</c:v>
                </c:pt>
                <c:pt idx="9">
                  <c:v>64790.099999999991</c:v>
                </c:pt>
                <c:pt idx="10">
                  <c:v>96866.439999999973</c:v>
                </c:pt>
                <c:pt idx="11">
                  <c:v>59630.639999999992</c:v>
                </c:pt>
                <c:pt idx="12">
                  <c:v>92445.209999999992</c:v>
                </c:pt>
                <c:pt idx="13">
                  <c:v>76482.7</c:v>
                </c:pt>
                <c:pt idx="14">
                  <c:v>91531.349999999991</c:v>
                </c:pt>
                <c:pt idx="15">
                  <c:v>94151.680000000008</c:v>
                </c:pt>
                <c:pt idx="16">
                  <c:v>130725.24000000002</c:v>
                </c:pt>
                <c:pt idx="17">
                  <c:v>155533.85999999996</c:v>
                </c:pt>
                <c:pt idx="18">
                  <c:v>126452.59999999998</c:v>
                </c:pt>
                <c:pt idx="19">
                  <c:v>128897.40000000001</c:v>
                </c:pt>
              </c:numCache>
            </c:numRef>
          </c:val>
          <c:extLst>
            <c:ext xmlns:c16="http://schemas.microsoft.com/office/drawing/2014/chart" uri="{C3380CC4-5D6E-409C-BE32-E72D297353CC}">
              <c16:uniqueId val="{00000001-D2A6-4A4E-A4C3-8FA0188E28F1}"/>
            </c:ext>
          </c:extLst>
        </c:ser>
        <c:dLbls>
          <c:showLegendKey val="0"/>
          <c:showVal val="0"/>
          <c:showCatName val="0"/>
          <c:showSerName val="0"/>
          <c:showPercent val="0"/>
          <c:showBubbleSize val="0"/>
        </c:dLbls>
        <c:gapWidth val="150"/>
        <c:shape val="box"/>
        <c:axId val="995240911"/>
        <c:axId val="995241391"/>
        <c:axId val="0"/>
      </c:bar3DChart>
      <c:catAx>
        <c:axId val="995240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241391"/>
        <c:crosses val="autoZero"/>
        <c:auto val="1"/>
        <c:lblAlgn val="ctr"/>
        <c:lblOffset val="100"/>
        <c:noMultiLvlLbl val="0"/>
      </c:catAx>
      <c:valAx>
        <c:axId val="9952413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2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251460</xdr:colOff>
      <xdr:row>18</xdr:row>
      <xdr:rowOff>22860</xdr:rowOff>
    </xdr:from>
    <xdr:to>
      <xdr:col>7</xdr:col>
      <xdr:colOff>358140</xdr:colOff>
      <xdr:row>31</xdr:row>
      <xdr:rowOff>112395</xdr:rowOff>
    </xdr:to>
    <mc:AlternateContent xmlns:mc="http://schemas.openxmlformats.org/markup-compatibility/2006">
      <mc:Choice xmlns:a14="http://schemas.microsoft.com/office/drawing/2010/main" Requires="a14">
        <xdr:graphicFrame macro="">
          <xdr:nvGraphicFramePr>
            <xdr:cNvPr id="2" name="Sales_Person">
              <a:extLst>
                <a:ext uri="{FF2B5EF4-FFF2-40B4-BE49-F238E27FC236}">
                  <a16:creationId xmlns:a16="http://schemas.microsoft.com/office/drawing/2014/main" id="{C1D9E49F-7991-6187-5283-F158921E625A}"/>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dr:sp macro="" textlink="">
          <xdr:nvSpPr>
            <xdr:cNvPr id="0" name=""/>
            <xdr:cNvSpPr>
              <a:spLocks noTextEdit="1"/>
            </xdr:cNvSpPr>
          </xdr:nvSpPr>
          <xdr:spPr>
            <a:xfrm>
              <a:off x="4777740" y="3314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12</xdr:row>
      <xdr:rowOff>53341</xdr:rowOff>
    </xdr:from>
    <xdr:to>
      <xdr:col>5</xdr:col>
      <xdr:colOff>982980</xdr:colOff>
      <xdr:row>16</xdr:row>
      <xdr:rowOff>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9EA3C03-DF81-12A2-22C9-3184DEFEA1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80460" y="2247901"/>
              <a:ext cx="182880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556260</xdr:colOff>
      <xdr:row>18</xdr:row>
      <xdr:rowOff>7620</xdr:rowOff>
    </xdr:from>
    <xdr:to>
      <xdr:col>4</xdr:col>
      <xdr:colOff>693420</xdr:colOff>
      <xdr:row>31</xdr:row>
      <xdr:rowOff>97155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E66F6A14-8AB2-E873-7EEB-84BD1F9F16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29840" y="3299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22860</xdr:colOff>
      <xdr:row>19</xdr:row>
      <xdr:rowOff>0</xdr:rowOff>
    </xdr:to>
    <xdr:graphicFrame macro="">
      <xdr:nvGraphicFramePr>
        <xdr:cNvPr id="2" name="Chart 1">
          <a:extLst>
            <a:ext uri="{FF2B5EF4-FFF2-40B4-BE49-F238E27FC236}">
              <a16:creationId xmlns:a16="http://schemas.microsoft.com/office/drawing/2014/main" id="{AC546468-B74D-4C71-B186-6AEE8C627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xdr:row>
      <xdr:rowOff>160020</xdr:rowOff>
    </xdr:from>
    <xdr:to>
      <xdr:col>17</xdr:col>
      <xdr:colOff>320040</xdr:colOff>
      <xdr:row>18</xdr:row>
      <xdr:rowOff>160020</xdr:rowOff>
    </xdr:to>
    <xdr:graphicFrame macro="">
      <xdr:nvGraphicFramePr>
        <xdr:cNvPr id="3" name="Chart 2">
          <a:extLst>
            <a:ext uri="{FF2B5EF4-FFF2-40B4-BE49-F238E27FC236}">
              <a16:creationId xmlns:a16="http://schemas.microsoft.com/office/drawing/2014/main" id="{569E2994-68BE-4E18-BFEE-7FA9BF601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22</xdr:row>
      <xdr:rowOff>0</xdr:rowOff>
    </xdr:from>
    <xdr:to>
      <xdr:col>8</xdr:col>
      <xdr:colOff>22860</xdr:colOff>
      <xdr:row>37</xdr:row>
      <xdr:rowOff>0</xdr:rowOff>
    </xdr:to>
    <xdr:graphicFrame macro="">
      <xdr:nvGraphicFramePr>
        <xdr:cNvPr id="4" name="Chart 3">
          <a:extLst>
            <a:ext uri="{FF2B5EF4-FFF2-40B4-BE49-F238E27FC236}">
              <a16:creationId xmlns:a16="http://schemas.microsoft.com/office/drawing/2014/main" id="{CEB061F1-9444-42C9-ADAF-19506647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22</xdr:row>
      <xdr:rowOff>0</xdr:rowOff>
    </xdr:from>
    <xdr:to>
      <xdr:col>17</xdr:col>
      <xdr:colOff>304800</xdr:colOff>
      <xdr:row>37</xdr:row>
      <xdr:rowOff>0</xdr:rowOff>
    </xdr:to>
    <xdr:graphicFrame macro="">
      <xdr:nvGraphicFramePr>
        <xdr:cNvPr id="5" name="Chart 4">
          <a:extLst>
            <a:ext uri="{FF2B5EF4-FFF2-40B4-BE49-F238E27FC236}">
              <a16:creationId xmlns:a16="http://schemas.microsoft.com/office/drawing/2014/main" id="{F225A2F0-013C-4030-A1D3-94AA8F023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xdr:colOff>
      <xdr:row>40</xdr:row>
      <xdr:rowOff>7620</xdr:rowOff>
    </xdr:from>
    <xdr:to>
      <xdr:col>8</xdr:col>
      <xdr:colOff>7620</xdr:colOff>
      <xdr:row>55</xdr:row>
      <xdr:rowOff>7620</xdr:rowOff>
    </xdr:to>
    <xdr:graphicFrame macro="">
      <xdr:nvGraphicFramePr>
        <xdr:cNvPr id="6" name="Chart 5">
          <a:extLst>
            <a:ext uri="{FF2B5EF4-FFF2-40B4-BE49-F238E27FC236}">
              <a16:creationId xmlns:a16="http://schemas.microsoft.com/office/drawing/2014/main" id="{4813FE2E-05F8-4617-BA03-75D373927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39272</xdr:colOff>
      <xdr:row>0</xdr:row>
      <xdr:rowOff>0</xdr:rowOff>
    </xdr:from>
    <xdr:to>
      <xdr:col>21</xdr:col>
      <xdr:colOff>566616</xdr:colOff>
      <xdr:row>7</xdr:row>
      <xdr:rowOff>7620</xdr:rowOff>
    </xdr:to>
    <xdr:sp macro="" textlink="">
      <xdr:nvSpPr>
        <xdr:cNvPr id="2" name="Rectangle: Rounded Corners 1">
          <a:extLst>
            <a:ext uri="{FF2B5EF4-FFF2-40B4-BE49-F238E27FC236}">
              <a16:creationId xmlns:a16="http://schemas.microsoft.com/office/drawing/2014/main" id="{1245F9ED-2E61-5D9B-1305-553A88420717}"/>
            </a:ext>
          </a:extLst>
        </xdr:cNvPr>
        <xdr:cNvSpPr/>
      </xdr:nvSpPr>
      <xdr:spPr>
        <a:xfrm>
          <a:off x="39272" y="0"/>
          <a:ext cx="13285959" cy="13069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91440</xdr:colOff>
      <xdr:row>7</xdr:row>
      <xdr:rowOff>114300</xdr:rowOff>
    </xdr:from>
    <xdr:to>
      <xdr:col>3</xdr:col>
      <xdr:colOff>530640</xdr:colOff>
      <xdr:row>12</xdr:row>
      <xdr:rowOff>91440</xdr:rowOff>
    </xdr:to>
    <xdr:sp macro="" textlink="">
      <xdr:nvSpPr>
        <xdr:cNvPr id="3" name="Rectangle: Rounded Corners 2">
          <a:extLst>
            <a:ext uri="{FF2B5EF4-FFF2-40B4-BE49-F238E27FC236}">
              <a16:creationId xmlns:a16="http://schemas.microsoft.com/office/drawing/2014/main" id="{6520E13D-FCAC-2FDE-26DC-F58A54EB4F83}"/>
            </a:ext>
          </a:extLst>
        </xdr:cNvPr>
        <xdr:cNvSpPr/>
      </xdr:nvSpPr>
      <xdr:spPr>
        <a:xfrm>
          <a:off x="91440" y="1394460"/>
          <a:ext cx="2268000" cy="8915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117817</xdr:colOff>
      <xdr:row>1</xdr:row>
      <xdr:rowOff>3322</xdr:rowOff>
    </xdr:from>
    <xdr:to>
      <xdr:col>5</xdr:col>
      <xdr:colOff>319649</xdr:colOff>
      <xdr:row>5</xdr:row>
      <xdr:rowOff>18562</xdr:rowOff>
    </xdr:to>
    <xdr:sp macro="" textlink="">
      <xdr:nvSpPr>
        <xdr:cNvPr id="4" name="Rectangle: Rounded Corners 3">
          <a:extLst>
            <a:ext uri="{FF2B5EF4-FFF2-40B4-BE49-F238E27FC236}">
              <a16:creationId xmlns:a16="http://schemas.microsoft.com/office/drawing/2014/main" id="{551E36E8-609C-5B23-946A-04A21E23F109}"/>
            </a:ext>
          </a:extLst>
        </xdr:cNvPr>
        <xdr:cNvSpPr/>
      </xdr:nvSpPr>
      <xdr:spPr>
        <a:xfrm>
          <a:off x="2540586" y="188937"/>
          <a:ext cx="807525" cy="757702"/>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7</xdr:row>
      <xdr:rowOff>99060</xdr:rowOff>
    </xdr:from>
    <xdr:to>
      <xdr:col>7</xdr:col>
      <xdr:colOff>454440</xdr:colOff>
      <xdr:row>12</xdr:row>
      <xdr:rowOff>76200</xdr:rowOff>
    </xdr:to>
    <xdr:sp macro="" textlink="">
      <xdr:nvSpPr>
        <xdr:cNvPr id="8" name="Rectangle: Rounded Corners 7">
          <a:extLst>
            <a:ext uri="{FF2B5EF4-FFF2-40B4-BE49-F238E27FC236}">
              <a16:creationId xmlns:a16="http://schemas.microsoft.com/office/drawing/2014/main" id="{8C73649C-275E-7E9A-1754-C9418B5DCE74}"/>
            </a:ext>
          </a:extLst>
        </xdr:cNvPr>
        <xdr:cNvSpPr/>
      </xdr:nvSpPr>
      <xdr:spPr>
        <a:xfrm>
          <a:off x="2453640" y="1379220"/>
          <a:ext cx="2268000" cy="8915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53340</xdr:colOff>
      <xdr:row>7</xdr:row>
      <xdr:rowOff>106680</xdr:rowOff>
    </xdr:from>
    <xdr:to>
      <xdr:col>11</xdr:col>
      <xdr:colOff>492540</xdr:colOff>
      <xdr:row>12</xdr:row>
      <xdr:rowOff>83820</xdr:rowOff>
    </xdr:to>
    <xdr:sp macro="" textlink="">
      <xdr:nvSpPr>
        <xdr:cNvPr id="9" name="Rectangle: Rounded Corners 8">
          <a:extLst>
            <a:ext uri="{FF2B5EF4-FFF2-40B4-BE49-F238E27FC236}">
              <a16:creationId xmlns:a16="http://schemas.microsoft.com/office/drawing/2014/main" id="{F7D965C6-F618-D02E-E14A-3F8AF9BBD4D9}"/>
            </a:ext>
          </a:extLst>
        </xdr:cNvPr>
        <xdr:cNvSpPr/>
      </xdr:nvSpPr>
      <xdr:spPr>
        <a:xfrm>
          <a:off x="4930140" y="1386840"/>
          <a:ext cx="2268000" cy="8915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137160</xdr:colOff>
      <xdr:row>7</xdr:row>
      <xdr:rowOff>91440</xdr:rowOff>
    </xdr:from>
    <xdr:to>
      <xdr:col>15</xdr:col>
      <xdr:colOff>576360</xdr:colOff>
      <xdr:row>12</xdr:row>
      <xdr:rowOff>68580</xdr:rowOff>
    </xdr:to>
    <xdr:sp macro="" textlink="">
      <xdr:nvSpPr>
        <xdr:cNvPr id="10" name="Rectangle: Rounded Corners 9">
          <a:extLst>
            <a:ext uri="{FF2B5EF4-FFF2-40B4-BE49-F238E27FC236}">
              <a16:creationId xmlns:a16="http://schemas.microsoft.com/office/drawing/2014/main" id="{8EF1408B-EB9F-605F-3801-D0BA99359C4C}"/>
            </a:ext>
          </a:extLst>
        </xdr:cNvPr>
        <xdr:cNvSpPr/>
      </xdr:nvSpPr>
      <xdr:spPr>
        <a:xfrm>
          <a:off x="7452360" y="1371600"/>
          <a:ext cx="2268000" cy="8915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7</xdr:row>
      <xdr:rowOff>114300</xdr:rowOff>
    </xdr:from>
    <xdr:to>
      <xdr:col>1</xdr:col>
      <xdr:colOff>381000</xdr:colOff>
      <xdr:row>12</xdr:row>
      <xdr:rowOff>91440</xdr:rowOff>
    </xdr:to>
    <xdr:sp macro="" textlink="">
      <xdr:nvSpPr>
        <xdr:cNvPr id="11" name="Rectangle: Rounded Corners 10">
          <a:extLst>
            <a:ext uri="{FF2B5EF4-FFF2-40B4-BE49-F238E27FC236}">
              <a16:creationId xmlns:a16="http://schemas.microsoft.com/office/drawing/2014/main" id="{E2F2C258-D8D2-0DEC-A32F-AD1298BB220D}"/>
            </a:ext>
          </a:extLst>
        </xdr:cNvPr>
        <xdr:cNvSpPr/>
      </xdr:nvSpPr>
      <xdr:spPr>
        <a:xfrm>
          <a:off x="76200" y="1394460"/>
          <a:ext cx="914400" cy="891540"/>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91440</xdr:colOff>
      <xdr:row>7</xdr:row>
      <xdr:rowOff>121920</xdr:rowOff>
    </xdr:from>
    <xdr:to>
      <xdr:col>9</xdr:col>
      <xdr:colOff>342900</xdr:colOff>
      <xdr:row>12</xdr:row>
      <xdr:rowOff>68580</xdr:rowOff>
    </xdr:to>
    <xdr:sp macro="" textlink="">
      <xdr:nvSpPr>
        <xdr:cNvPr id="14" name="Rectangle: Rounded Corners 13">
          <a:extLst>
            <a:ext uri="{FF2B5EF4-FFF2-40B4-BE49-F238E27FC236}">
              <a16:creationId xmlns:a16="http://schemas.microsoft.com/office/drawing/2014/main" id="{8A05D107-1C5A-2DC3-71E6-A69F38D61194}"/>
            </a:ext>
          </a:extLst>
        </xdr:cNvPr>
        <xdr:cNvSpPr/>
      </xdr:nvSpPr>
      <xdr:spPr>
        <a:xfrm>
          <a:off x="4968240" y="1402080"/>
          <a:ext cx="861060" cy="861060"/>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xdr:colOff>
      <xdr:row>7</xdr:row>
      <xdr:rowOff>137160</xdr:rowOff>
    </xdr:from>
    <xdr:to>
      <xdr:col>5</xdr:col>
      <xdr:colOff>251460</xdr:colOff>
      <xdr:row>12</xdr:row>
      <xdr:rowOff>53340</xdr:rowOff>
    </xdr:to>
    <xdr:sp macro="" textlink="">
      <xdr:nvSpPr>
        <xdr:cNvPr id="15" name="Rectangle: Rounded Corners 14">
          <a:extLst>
            <a:ext uri="{FF2B5EF4-FFF2-40B4-BE49-F238E27FC236}">
              <a16:creationId xmlns:a16="http://schemas.microsoft.com/office/drawing/2014/main" id="{AB4101FF-75C6-C240-6697-6F2959E175D8}"/>
            </a:ext>
          </a:extLst>
        </xdr:cNvPr>
        <xdr:cNvSpPr/>
      </xdr:nvSpPr>
      <xdr:spPr>
        <a:xfrm>
          <a:off x="2484120" y="1417320"/>
          <a:ext cx="815340" cy="830580"/>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160020</xdr:colOff>
      <xdr:row>7</xdr:row>
      <xdr:rowOff>99060</xdr:rowOff>
    </xdr:from>
    <xdr:to>
      <xdr:col>13</xdr:col>
      <xdr:colOff>449580</xdr:colOff>
      <xdr:row>12</xdr:row>
      <xdr:rowOff>60960</xdr:rowOff>
    </xdr:to>
    <xdr:sp macro="" textlink="">
      <xdr:nvSpPr>
        <xdr:cNvPr id="17" name="Rectangle: Rounded Corners 16">
          <a:extLst>
            <a:ext uri="{FF2B5EF4-FFF2-40B4-BE49-F238E27FC236}">
              <a16:creationId xmlns:a16="http://schemas.microsoft.com/office/drawing/2014/main" id="{C64CB42A-23ED-EF47-3184-747EFDF3404D}"/>
            </a:ext>
          </a:extLst>
        </xdr:cNvPr>
        <xdr:cNvSpPr/>
      </xdr:nvSpPr>
      <xdr:spPr>
        <a:xfrm>
          <a:off x="7475220" y="1379220"/>
          <a:ext cx="899160" cy="876300"/>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533400</xdr:colOff>
      <xdr:row>8</xdr:row>
      <xdr:rowOff>106680</xdr:rowOff>
    </xdr:from>
    <xdr:to>
      <xdr:col>3</xdr:col>
      <xdr:colOff>411480</xdr:colOff>
      <xdr:row>10</xdr:row>
      <xdr:rowOff>0</xdr:rowOff>
    </xdr:to>
    <xdr:sp macro="" textlink="">
      <xdr:nvSpPr>
        <xdr:cNvPr id="18" name="TextBox 17">
          <a:extLst>
            <a:ext uri="{FF2B5EF4-FFF2-40B4-BE49-F238E27FC236}">
              <a16:creationId xmlns:a16="http://schemas.microsoft.com/office/drawing/2014/main" id="{658A596B-7E33-646C-26B4-452E9464FE64}"/>
            </a:ext>
          </a:extLst>
        </xdr:cNvPr>
        <xdr:cNvSpPr txBox="1"/>
      </xdr:nvSpPr>
      <xdr:spPr>
        <a:xfrm>
          <a:off x="1143000" y="1569720"/>
          <a:ext cx="109728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TOTAL</a:t>
          </a:r>
          <a:r>
            <a:rPr lang="en-IN" sz="1200" b="1" baseline="0">
              <a:solidFill>
                <a:schemeClr val="tx2"/>
              </a:solidFill>
            </a:rPr>
            <a:t> SALES</a:t>
          </a:r>
          <a:endParaRPr lang="en-IN" sz="1200" b="1">
            <a:solidFill>
              <a:schemeClr val="tx2"/>
            </a:solidFill>
          </a:endParaRPr>
        </a:p>
        <a:p>
          <a:endParaRPr lang="en-IN" sz="1100"/>
        </a:p>
      </xdr:txBody>
    </xdr:sp>
    <xdr:clientData/>
  </xdr:twoCellAnchor>
  <xdr:twoCellAnchor>
    <xdr:from>
      <xdr:col>1</xdr:col>
      <xdr:colOff>487680</xdr:colOff>
      <xdr:row>10</xdr:row>
      <xdr:rowOff>83820</xdr:rowOff>
    </xdr:from>
    <xdr:to>
      <xdr:col>3</xdr:col>
      <xdr:colOff>373380</xdr:colOff>
      <xdr:row>11</xdr:row>
      <xdr:rowOff>99060</xdr:rowOff>
    </xdr:to>
    <xdr:sp macro="" textlink="Dataset!L5">
      <xdr:nvSpPr>
        <xdr:cNvPr id="19" name="TextBox 18">
          <a:extLst>
            <a:ext uri="{FF2B5EF4-FFF2-40B4-BE49-F238E27FC236}">
              <a16:creationId xmlns:a16="http://schemas.microsoft.com/office/drawing/2014/main" id="{AEB2F421-F3EA-5C37-8948-166D50491350}"/>
            </a:ext>
          </a:extLst>
        </xdr:cNvPr>
        <xdr:cNvSpPr txBox="1"/>
      </xdr:nvSpPr>
      <xdr:spPr>
        <a:xfrm>
          <a:off x="1097280" y="1912620"/>
          <a:ext cx="1104900" cy="1981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B771AD-7159-4EF6-B084-E81D20BC4A99}" type="TxLink">
            <a:rPr lang="en-US" sz="1200" b="1" i="0" u="none" strike="noStrike">
              <a:solidFill>
                <a:schemeClr val="tx2"/>
              </a:solidFill>
              <a:latin typeface="Calibri"/>
              <a:ea typeface="Calibri"/>
              <a:cs typeface="Calibri"/>
            </a:rPr>
            <a:pPr/>
            <a:t> 5,376,830.11 </a:t>
          </a:fld>
          <a:endParaRPr lang="en-IN" sz="1200" b="1">
            <a:solidFill>
              <a:schemeClr val="tx2"/>
            </a:solidFill>
          </a:endParaRPr>
        </a:p>
      </xdr:txBody>
    </xdr:sp>
    <xdr:clientData/>
  </xdr:twoCellAnchor>
  <xdr:twoCellAnchor>
    <xdr:from>
      <xdr:col>5</xdr:col>
      <xdr:colOff>327660</xdr:colOff>
      <xdr:row>8</xdr:row>
      <xdr:rowOff>76200</xdr:rowOff>
    </xdr:from>
    <xdr:to>
      <xdr:col>7</xdr:col>
      <xdr:colOff>350520</xdr:colOff>
      <xdr:row>9</xdr:row>
      <xdr:rowOff>137160</xdr:rowOff>
    </xdr:to>
    <xdr:sp macro="" textlink="">
      <xdr:nvSpPr>
        <xdr:cNvPr id="20" name="TextBox 19">
          <a:extLst>
            <a:ext uri="{FF2B5EF4-FFF2-40B4-BE49-F238E27FC236}">
              <a16:creationId xmlns:a16="http://schemas.microsoft.com/office/drawing/2014/main" id="{1F1E403B-1DA2-E195-DFF6-673B982FF041}"/>
            </a:ext>
          </a:extLst>
        </xdr:cNvPr>
        <xdr:cNvSpPr txBox="1"/>
      </xdr:nvSpPr>
      <xdr:spPr>
        <a:xfrm>
          <a:off x="3375660" y="1539240"/>
          <a:ext cx="124206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AVERAGE</a:t>
          </a:r>
          <a:r>
            <a:rPr lang="en-IN" sz="1200" b="1" baseline="0">
              <a:solidFill>
                <a:schemeClr val="tx2"/>
              </a:solidFill>
            </a:rPr>
            <a:t> SALES</a:t>
          </a:r>
        </a:p>
        <a:p>
          <a:endParaRPr lang="en-IN" sz="1100"/>
        </a:p>
      </xdr:txBody>
    </xdr:sp>
    <xdr:clientData/>
  </xdr:twoCellAnchor>
  <xdr:twoCellAnchor>
    <xdr:from>
      <xdr:col>5</xdr:col>
      <xdr:colOff>381000</xdr:colOff>
      <xdr:row>10</xdr:row>
      <xdr:rowOff>68580</xdr:rowOff>
    </xdr:from>
    <xdr:to>
      <xdr:col>7</xdr:col>
      <xdr:colOff>281940</xdr:colOff>
      <xdr:row>11</xdr:row>
      <xdr:rowOff>106680</xdr:rowOff>
    </xdr:to>
    <xdr:sp macro="" textlink="Dataset!L14">
      <xdr:nvSpPr>
        <xdr:cNvPr id="21" name="TextBox 20">
          <a:extLst>
            <a:ext uri="{FF2B5EF4-FFF2-40B4-BE49-F238E27FC236}">
              <a16:creationId xmlns:a16="http://schemas.microsoft.com/office/drawing/2014/main" id="{1DE04924-DD97-C7C7-FB7E-9B82C0C18BB9}"/>
            </a:ext>
          </a:extLst>
        </xdr:cNvPr>
        <xdr:cNvSpPr txBox="1"/>
      </xdr:nvSpPr>
      <xdr:spPr>
        <a:xfrm>
          <a:off x="3429000" y="1897380"/>
          <a:ext cx="112014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AD91A2-4962-4815-840D-FA49A422675D}" type="TxLink">
            <a:rPr lang="en-US" sz="1200" b="1" i="0" u="none" strike="noStrike">
              <a:solidFill>
                <a:schemeClr val="tx2"/>
              </a:solidFill>
              <a:latin typeface="Calibri"/>
              <a:ea typeface="Calibri"/>
              <a:cs typeface="Calibri"/>
            </a:rPr>
            <a:pPr/>
            <a:t> 10,753.66 </a:t>
          </a:fld>
          <a:endParaRPr lang="en-IN" sz="1200" b="1">
            <a:solidFill>
              <a:schemeClr val="tx2"/>
            </a:solidFill>
          </a:endParaRPr>
        </a:p>
      </xdr:txBody>
    </xdr:sp>
    <xdr:clientData/>
  </xdr:twoCellAnchor>
  <xdr:twoCellAnchor>
    <xdr:from>
      <xdr:col>9</xdr:col>
      <xdr:colOff>518160</xdr:colOff>
      <xdr:row>8</xdr:row>
      <xdr:rowOff>91440</xdr:rowOff>
    </xdr:from>
    <xdr:to>
      <xdr:col>11</xdr:col>
      <xdr:colOff>220980</xdr:colOff>
      <xdr:row>9</xdr:row>
      <xdr:rowOff>137160</xdr:rowOff>
    </xdr:to>
    <xdr:sp macro="" textlink="">
      <xdr:nvSpPr>
        <xdr:cNvPr id="22" name="TextBox 21">
          <a:extLst>
            <a:ext uri="{FF2B5EF4-FFF2-40B4-BE49-F238E27FC236}">
              <a16:creationId xmlns:a16="http://schemas.microsoft.com/office/drawing/2014/main" id="{93619DBF-C1BE-AB87-2074-09CDEFB88FA0}"/>
            </a:ext>
          </a:extLst>
        </xdr:cNvPr>
        <xdr:cNvSpPr txBox="1"/>
      </xdr:nvSpPr>
      <xdr:spPr>
        <a:xfrm>
          <a:off x="6035040" y="1554480"/>
          <a:ext cx="9220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200" b="1">
              <a:solidFill>
                <a:schemeClr val="tx2"/>
              </a:solidFill>
            </a:rPr>
            <a:t>UNIT</a:t>
          </a:r>
          <a:r>
            <a:rPr lang="en-IN" sz="1200" b="1" baseline="0">
              <a:solidFill>
                <a:schemeClr val="tx2"/>
              </a:solidFill>
            </a:rPr>
            <a:t> SOLD</a:t>
          </a:r>
          <a:endParaRPr lang="en-IN" sz="1200" b="1">
            <a:solidFill>
              <a:schemeClr val="tx2"/>
            </a:solidFill>
          </a:endParaRPr>
        </a:p>
      </xdr:txBody>
    </xdr:sp>
    <xdr:clientData/>
  </xdr:twoCellAnchor>
  <xdr:twoCellAnchor>
    <xdr:from>
      <xdr:col>14</xdr:col>
      <xdr:colOff>15240</xdr:colOff>
      <xdr:row>8</xdr:row>
      <xdr:rowOff>53340</xdr:rowOff>
    </xdr:from>
    <xdr:to>
      <xdr:col>15</xdr:col>
      <xdr:colOff>426720</xdr:colOff>
      <xdr:row>9</xdr:row>
      <xdr:rowOff>106680</xdr:rowOff>
    </xdr:to>
    <xdr:sp macro="" textlink="">
      <xdr:nvSpPr>
        <xdr:cNvPr id="23" name="TextBox 22">
          <a:extLst>
            <a:ext uri="{FF2B5EF4-FFF2-40B4-BE49-F238E27FC236}">
              <a16:creationId xmlns:a16="http://schemas.microsoft.com/office/drawing/2014/main" id="{4463BB38-A0EB-FE75-F3D6-FAA1E97AD7E9}"/>
            </a:ext>
          </a:extLst>
        </xdr:cNvPr>
        <xdr:cNvSpPr txBox="1"/>
      </xdr:nvSpPr>
      <xdr:spPr>
        <a:xfrm>
          <a:off x="8549640" y="1516380"/>
          <a:ext cx="102108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PROFIT</a:t>
          </a:r>
        </a:p>
      </xdr:txBody>
    </xdr:sp>
    <xdr:clientData/>
  </xdr:twoCellAnchor>
  <xdr:twoCellAnchor>
    <xdr:from>
      <xdr:col>9</xdr:col>
      <xdr:colOff>563880</xdr:colOff>
      <xdr:row>10</xdr:row>
      <xdr:rowOff>60960</xdr:rowOff>
    </xdr:from>
    <xdr:to>
      <xdr:col>11</xdr:col>
      <xdr:colOff>373380</xdr:colOff>
      <xdr:row>11</xdr:row>
      <xdr:rowOff>121920</xdr:rowOff>
    </xdr:to>
    <xdr:sp macro="" textlink="Dataset!L8">
      <xdr:nvSpPr>
        <xdr:cNvPr id="24" name="TextBox 23">
          <a:extLst>
            <a:ext uri="{FF2B5EF4-FFF2-40B4-BE49-F238E27FC236}">
              <a16:creationId xmlns:a16="http://schemas.microsoft.com/office/drawing/2014/main" id="{960894DA-D630-1E8F-6CAF-EAF64BC041F5}"/>
            </a:ext>
          </a:extLst>
        </xdr:cNvPr>
        <xdr:cNvSpPr txBox="1"/>
      </xdr:nvSpPr>
      <xdr:spPr>
        <a:xfrm>
          <a:off x="6080760" y="1889760"/>
          <a:ext cx="102870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0C0F0F-49B9-4135-9413-C07C212E0440}" type="TxLink">
            <a:rPr lang="en-US" sz="1200" b="1" i="0" u="none" strike="noStrike">
              <a:solidFill>
                <a:schemeClr val="tx2"/>
              </a:solidFill>
              <a:latin typeface="Calibri"/>
              <a:ea typeface="Calibri"/>
              <a:cs typeface="Calibri"/>
            </a:rPr>
            <a:pPr/>
            <a:t> 5,286.00 </a:t>
          </a:fld>
          <a:endParaRPr lang="en-IN" sz="1200" b="1">
            <a:solidFill>
              <a:schemeClr val="tx2"/>
            </a:solidFill>
          </a:endParaRPr>
        </a:p>
      </xdr:txBody>
    </xdr:sp>
    <xdr:clientData/>
  </xdr:twoCellAnchor>
  <xdr:twoCellAnchor>
    <xdr:from>
      <xdr:col>14</xdr:col>
      <xdr:colOff>22860</xdr:colOff>
      <xdr:row>10</xdr:row>
      <xdr:rowOff>22860</xdr:rowOff>
    </xdr:from>
    <xdr:to>
      <xdr:col>15</xdr:col>
      <xdr:colOff>480060</xdr:colOff>
      <xdr:row>11</xdr:row>
      <xdr:rowOff>106680</xdr:rowOff>
    </xdr:to>
    <xdr:sp macro="" textlink="Dataset!L11">
      <xdr:nvSpPr>
        <xdr:cNvPr id="25" name="TextBox 24">
          <a:extLst>
            <a:ext uri="{FF2B5EF4-FFF2-40B4-BE49-F238E27FC236}">
              <a16:creationId xmlns:a16="http://schemas.microsoft.com/office/drawing/2014/main" id="{F939A7E3-BA35-A3D5-9E92-1B3ACCF0DC38}"/>
            </a:ext>
          </a:extLst>
        </xdr:cNvPr>
        <xdr:cNvSpPr txBox="1"/>
      </xdr:nvSpPr>
      <xdr:spPr>
        <a:xfrm>
          <a:off x="8587740" y="1851660"/>
          <a:ext cx="10668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A16203-779F-4FD1-BB03-CAB1AE2B0A09}" type="TxLink">
            <a:rPr lang="en-US" sz="1100" b="1" i="0" u="none" strike="noStrike">
              <a:solidFill>
                <a:schemeClr val="tx2"/>
              </a:solidFill>
              <a:latin typeface="Calibri"/>
              <a:ea typeface="Calibri"/>
              <a:cs typeface="Calibri"/>
            </a:rPr>
            <a:pPr/>
            <a:t> 1,372,442.36 </a:t>
          </a:fld>
          <a:endParaRPr lang="en-IN" sz="1100" b="1">
            <a:solidFill>
              <a:schemeClr val="tx2"/>
            </a:solidFill>
          </a:endParaRPr>
        </a:p>
      </xdr:txBody>
    </xdr:sp>
    <xdr:clientData/>
  </xdr:twoCellAnchor>
  <xdr:twoCellAnchor editAs="oneCell">
    <xdr:from>
      <xdr:col>8</xdr:col>
      <xdr:colOff>144780</xdr:colOff>
      <xdr:row>7</xdr:row>
      <xdr:rowOff>160020</xdr:rowOff>
    </xdr:from>
    <xdr:to>
      <xdr:col>9</xdr:col>
      <xdr:colOff>259080</xdr:colOff>
      <xdr:row>11</xdr:row>
      <xdr:rowOff>152400</xdr:rowOff>
    </xdr:to>
    <xdr:pic>
      <xdr:nvPicPr>
        <xdr:cNvPr id="27" name="Graphic 26" descr="Money with solid fill">
          <a:extLst>
            <a:ext uri="{FF2B5EF4-FFF2-40B4-BE49-F238E27FC236}">
              <a16:creationId xmlns:a16="http://schemas.microsoft.com/office/drawing/2014/main" id="{04198402-24CB-8CF0-39E5-80A10A32B2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2060" y="1440180"/>
          <a:ext cx="723900" cy="723900"/>
        </a:xfrm>
        <a:prstGeom prst="rect">
          <a:avLst/>
        </a:prstGeom>
      </xdr:spPr>
    </xdr:pic>
    <xdr:clientData/>
  </xdr:twoCellAnchor>
  <xdr:twoCellAnchor editAs="oneCell">
    <xdr:from>
      <xdr:col>12</xdr:col>
      <xdr:colOff>259080</xdr:colOff>
      <xdr:row>8</xdr:row>
      <xdr:rowOff>0</xdr:rowOff>
    </xdr:from>
    <xdr:to>
      <xdr:col>13</xdr:col>
      <xdr:colOff>365760</xdr:colOff>
      <xdr:row>11</xdr:row>
      <xdr:rowOff>167640</xdr:rowOff>
    </xdr:to>
    <xdr:pic>
      <xdr:nvPicPr>
        <xdr:cNvPr id="29" name="Graphic 28" descr="Upward trend with solid fill">
          <a:extLst>
            <a:ext uri="{FF2B5EF4-FFF2-40B4-BE49-F238E27FC236}">
              <a16:creationId xmlns:a16="http://schemas.microsoft.com/office/drawing/2014/main" id="{A36DF91E-2B8F-A7B2-0AF7-A15211683A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04760" y="1463040"/>
          <a:ext cx="716280" cy="716280"/>
        </a:xfrm>
        <a:prstGeom prst="rect">
          <a:avLst/>
        </a:prstGeom>
      </xdr:spPr>
    </xdr:pic>
    <xdr:clientData/>
  </xdr:twoCellAnchor>
  <xdr:twoCellAnchor editAs="oneCell">
    <xdr:from>
      <xdr:col>4</xdr:col>
      <xdr:colOff>91440</xdr:colOff>
      <xdr:row>8</xdr:row>
      <xdr:rowOff>30480</xdr:rowOff>
    </xdr:from>
    <xdr:to>
      <xdr:col>5</xdr:col>
      <xdr:colOff>205740</xdr:colOff>
      <xdr:row>12</xdr:row>
      <xdr:rowOff>22860</xdr:rowOff>
    </xdr:to>
    <xdr:pic>
      <xdr:nvPicPr>
        <xdr:cNvPr id="31" name="Graphic 30" descr="Coins with solid fill">
          <a:extLst>
            <a:ext uri="{FF2B5EF4-FFF2-40B4-BE49-F238E27FC236}">
              <a16:creationId xmlns:a16="http://schemas.microsoft.com/office/drawing/2014/main" id="{F9B0197F-672F-7065-E087-CFCC06139B0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29840" y="1493520"/>
          <a:ext cx="723900" cy="723900"/>
        </a:xfrm>
        <a:prstGeom prst="rect">
          <a:avLst/>
        </a:prstGeom>
      </xdr:spPr>
    </xdr:pic>
    <xdr:clientData/>
  </xdr:twoCellAnchor>
  <xdr:twoCellAnchor editAs="oneCell">
    <xdr:from>
      <xdr:col>0</xdr:col>
      <xdr:colOff>175260</xdr:colOff>
      <xdr:row>7</xdr:row>
      <xdr:rowOff>160020</xdr:rowOff>
    </xdr:from>
    <xdr:to>
      <xdr:col>1</xdr:col>
      <xdr:colOff>274320</xdr:colOff>
      <xdr:row>11</xdr:row>
      <xdr:rowOff>137160</xdr:rowOff>
    </xdr:to>
    <xdr:pic>
      <xdr:nvPicPr>
        <xdr:cNvPr id="33" name="Graphic 32" descr="Dollar with solid fill">
          <a:extLst>
            <a:ext uri="{FF2B5EF4-FFF2-40B4-BE49-F238E27FC236}">
              <a16:creationId xmlns:a16="http://schemas.microsoft.com/office/drawing/2014/main" id="{21A3B245-5B78-AACA-C47E-06D2CF9741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5260" y="1440180"/>
          <a:ext cx="708660" cy="708660"/>
        </a:xfrm>
        <a:prstGeom prst="rect">
          <a:avLst/>
        </a:prstGeom>
      </xdr:spPr>
    </xdr:pic>
    <xdr:clientData/>
  </xdr:twoCellAnchor>
  <xdr:twoCellAnchor>
    <xdr:from>
      <xdr:col>6</xdr:col>
      <xdr:colOff>97691</xdr:colOff>
      <xdr:row>1</xdr:row>
      <xdr:rowOff>53340</xdr:rowOff>
    </xdr:from>
    <xdr:to>
      <xdr:col>16</xdr:col>
      <xdr:colOff>117231</xdr:colOff>
      <xdr:row>4</xdr:row>
      <xdr:rowOff>48846</xdr:rowOff>
    </xdr:to>
    <xdr:sp macro="" textlink="">
      <xdr:nvSpPr>
        <xdr:cNvPr id="34" name="TextBox 33">
          <a:extLst>
            <a:ext uri="{FF2B5EF4-FFF2-40B4-BE49-F238E27FC236}">
              <a16:creationId xmlns:a16="http://schemas.microsoft.com/office/drawing/2014/main" id="{22105B55-ED1F-D38C-6ECF-9D16B57FF915}"/>
            </a:ext>
          </a:extLst>
        </xdr:cNvPr>
        <xdr:cNvSpPr txBox="1"/>
      </xdr:nvSpPr>
      <xdr:spPr>
        <a:xfrm>
          <a:off x="3731845" y="238955"/>
          <a:ext cx="6115540" cy="552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tx2"/>
              </a:solidFill>
            </a:rPr>
            <a:t>BUSINESS OVERVIEW</a:t>
          </a:r>
          <a:r>
            <a:rPr lang="en-IN" sz="3200" b="1" baseline="0">
              <a:solidFill>
                <a:schemeClr val="tx2"/>
              </a:solidFill>
            </a:rPr>
            <a:t> DASHBOARD</a:t>
          </a:r>
        </a:p>
        <a:p>
          <a:endParaRPr lang="en-IN" sz="1100"/>
        </a:p>
      </xdr:txBody>
    </xdr:sp>
    <xdr:clientData/>
  </xdr:twoCellAnchor>
  <xdr:twoCellAnchor editAs="oneCell">
    <xdr:from>
      <xdr:col>4</xdr:col>
      <xdr:colOff>167250</xdr:colOff>
      <xdr:row>1</xdr:row>
      <xdr:rowOff>24031</xdr:rowOff>
    </xdr:from>
    <xdr:to>
      <xdr:col>5</xdr:col>
      <xdr:colOff>289169</xdr:colOff>
      <xdr:row>5</xdr:row>
      <xdr:rowOff>24031</xdr:rowOff>
    </xdr:to>
    <xdr:pic>
      <xdr:nvPicPr>
        <xdr:cNvPr id="36" name="Graphic 35" descr="Customer review with solid fill">
          <a:extLst>
            <a:ext uri="{FF2B5EF4-FFF2-40B4-BE49-F238E27FC236}">
              <a16:creationId xmlns:a16="http://schemas.microsoft.com/office/drawing/2014/main" id="{8B92073F-7789-F79E-7AF6-BF20BE1CBEC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90019" y="209646"/>
          <a:ext cx="727612" cy="742462"/>
        </a:xfrm>
        <a:prstGeom prst="rect">
          <a:avLst/>
        </a:prstGeom>
      </xdr:spPr>
    </xdr:pic>
    <xdr:clientData/>
  </xdr:twoCellAnchor>
  <xdr:twoCellAnchor editAs="oneCell">
    <xdr:from>
      <xdr:col>16</xdr:col>
      <xdr:colOff>121920</xdr:colOff>
      <xdr:row>8</xdr:row>
      <xdr:rowOff>0</xdr:rowOff>
    </xdr:from>
    <xdr:to>
      <xdr:col>21</xdr:col>
      <xdr:colOff>556847</xdr:colOff>
      <xdr:row>11</xdr:row>
      <xdr:rowOff>167640</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E8D051F9-E1AC-49A2-A084-0CEF543083E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52074" y="1484923"/>
              <a:ext cx="3463388" cy="724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68579</xdr:rowOff>
    </xdr:from>
    <xdr:to>
      <xdr:col>3</xdr:col>
      <xdr:colOff>0</xdr:colOff>
      <xdr:row>26</xdr:row>
      <xdr:rowOff>136768</xdr:rowOff>
    </xdr:to>
    <mc:AlternateContent xmlns:mc="http://schemas.openxmlformats.org/markup-compatibility/2006" xmlns:a14="http://schemas.microsoft.com/office/drawing/2010/main">
      <mc:Choice Requires="a14">
        <xdr:graphicFrame macro="">
          <xdr:nvGraphicFramePr>
            <xdr:cNvPr id="38" name="Product 1">
              <a:extLst>
                <a:ext uri="{FF2B5EF4-FFF2-40B4-BE49-F238E27FC236}">
                  <a16:creationId xmlns:a16="http://schemas.microsoft.com/office/drawing/2014/main" id="{4372E1E7-425E-4CB7-90D2-2D800E04897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4300" y="2481580"/>
              <a:ext cx="1702777" cy="2295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99061</xdr:colOff>
      <xdr:row>26</xdr:row>
      <xdr:rowOff>137159</xdr:rowOff>
    </xdr:from>
    <xdr:to>
      <xdr:col>3</xdr:col>
      <xdr:colOff>9770</xdr:colOff>
      <xdr:row>44</xdr:row>
      <xdr:rowOff>156308</xdr:rowOff>
    </xdr:to>
    <mc:AlternateContent xmlns:mc="http://schemas.openxmlformats.org/markup-compatibility/2006" xmlns:a14="http://schemas.microsoft.com/office/drawing/2010/main">
      <mc:Choice Requires="a14">
        <xdr:graphicFrame macro="">
          <xdr:nvGraphicFramePr>
            <xdr:cNvPr id="39" name="Sales_Person 1">
              <a:extLst>
                <a:ext uri="{FF2B5EF4-FFF2-40B4-BE49-F238E27FC236}">
                  <a16:creationId xmlns:a16="http://schemas.microsoft.com/office/drawing/2014/main" id="{A372416F-EB8B-45C2-AD9E-ADE8C7C80E55}"/>
                </a:ext>
              </a:extLst>
            </xdr:cNvPr>
            <xdr:cNvGraphicFramePr/>
          </xdr:nvGraphicFramePr>
          <xdr:xfrm>
            <a:off x="0" y="0"/>
            <a:ext cx="0" cy="0"/>
          </xdr:xfrm>
          <a:graphic>
            <a:graphicData uri="http://schemas.microsoft.com/office/drawing/2010/slicer">
              <sle:slicer xmlns:sle="http://schemas.microsoft.com/office/drawing/2010/slicer" name="Sales_Person 1"/>
            </a:graphicData>
          </a:graphic>
        </xdr:graphicFrame>
      </mc:Choice>
      <mc:Fallback xmlns="">
        <xdr:sp macro="" textlink="">
          <xdr:nvSpPr>
            <xdr:cNvPr id="0" name=""/>
            <xdr:cNvSpPr>
              <a:spLocks noTextEdit="1"/>
            </xdr:cNvSpPr>
          </xdr:nvSpPr>
          <xdr:spPr>
            <a:xfrm>
              <a:off x="99060" y="4963159"/>
              <a:ext cx="1740877" cy="3203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95934</xdr:colOff>
      <xdr:row>13</xdr:row>
      <xdr:rowOff>9769</xdr:rowOff>
    </xdr:from>
    <xdr:to>
      <xdr:col>9</xdr:col>
      <xdr:colOff>234461</xdr:colOff>
      <xdr:row>26</xdr:row>
      <xdr:rowOff>146538</xdr:rowOff>
    </xdr:to>
    <xdr:sp macro="" textlink="">
      <xdr:nvSpPr>
        <xdr:cNvPr id="40" name="Rectangle: Rounded Corners 39">
          <a:extLst>
            <a:ext uri="{FF2B5EF4-FFF2-40B4-BE49-F238E27FC236}">
              <a16:creationId xmlns:a16="http://schemas.microsoft.com/office/drawing/2014/main" id="{2C7355B7-150D-DD4F-D888-D265786212A1}"/>
            </a:ext>
          </a:extLst>
        </xdr:cNvPr>
        <xdr:cNvSpPr/>
      </xdr:nvSpPr>
      <xdr:spPr>
        <a:xfrm>
          <a:off x="1913011" y="2422769"/>
          <a:ext cx="3811758" cy="25497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281940</xdr:colOff>
      <xdr:row>13</xdr:row>
      <xdr:rowOff>106680</xdr:rowOff>
    </xdr:from>
    <xdr:to>
      <xdr:col>7</xdr:col>
      <xdr:colOff>76200</xdr:colOff>
      <xdr:row>14</xdr:row>
      <xdr:rowOff>144780</xdr:rowOff>
    </xdr:to>
    <xdr:sp macro="" textlink="">
      <xdr:nvSpPr>
        <xdr:cNvPr id="41" name="TextBox 40">
          <a:extLst>
            <a:ext uri="{FF2B5EF4-FFF2-40B4-BE49-F238E27FC236}">
              <a16:creationId xmlns:a16="http://schemas.microsoft.com/office/drawing/2014/main" id="{2AA33477-A61F-395E-AF42-5133AD1D9495}"/>
            </a:ext>
          </a:extLst>
        </xdr:cNvPr>
        <xdr:cNvSpPr txBox="1"/>
      </xdr:nvSpPr>
      <xdr:spPr>
        <a:xfrm>
          <a:off x="3329940" y="2484120"/>
          <a:ext cx="101346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 SALES</a:t>
          </a:r>
        </a:p>
      </xdr:txBody>
    </xdr:sp>
    <xdr:clientData/>
  </xdr:twoCellAnchor>
  <xdr:twoCellAnchor>
    <xdr:from>
      <xdr:col>3</xdr:col>
      <xdr:colOff>243840</xdr:colOff>
      <xdr:row>13</xdr:row>
      <xdr:rowOff>48847</xdr:rowOff>
    </xdr:from>
    <xdr:to>
      <xdr:col>9</xdr:col>
      <xdr:colOff>107461</xdr:colOff>
      <xdr:row>26</xdr:row>
      <xdr:rowOff>15241</xdr:rowOff>
    </xdr:to>
    <xdr:graphicFrame macro="">
      <xdr:nvGraphicFramePr>
        <xdr:cNvPr id="42" name="Chart 41">
          <a:extLst>
            <a:ext uri="{FF2B5EF4-FFF2-40B4-BE49-F238E27FC236}">
              <a16:creationId xmlns:a16="http://schemas.microsoft.com/office/drawing/2014/main" id="{E7F066BC-54E0-4541-AF69-E66D107A9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298352</xdr:colOff>
      <xdr:row>13</xdr:row>
      <xdr:rowOff>76200</xdr:rowOff>
    </xdr:from>
    <xdr:to>
      <xdr:col>16</xdr:col>
      <xdr:colOff>39272</xdr:colOff>
      <xdr:row>27</xdr:row>
      <xdr:rowOff>30480</xdr:rowOff>
    </xdr:to>
    <xdr:sp macro="" textlink="">
      <xdr:nvSpPr>
        <xdr:cNvPr id="45" name="Rectangle: Rounded Corners 44">
          <a:extLst>
            <a:ext uri="{FF2B5EF4-FFF2-40B4-BE49-F238E27FC236}">
              <a16:creationId xmlns:a16="http://schemas.microsoft.com/office/drawing/2014/main" id="{D673EE7B-4E22-B5CA-8376-0BB6BA6E0F50}"/>
            </a:ext>
          </a:extLst>
        </xdr:cNvPr>
        <xdr:cNvSpPr/>
      </xdr:nvSpPr>
      <xdr:spPr>
        <a:xfrm>
          <a:off x="5788660" y="2489200"/>
          <a:ext cx="3980766" cy="2552895"/>
        </a:xfrm>
        <a:prstGeom prst="roundRect">
          <a:avLst>
            <a:gd name="adj" fmla="val 13973"/>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129540</xdr:colOff>
      <xdr:row>13</xdr:row>
      <xdr:rowOff>19538</xdr:rowOff>
    </xdr:from>
    <xdr:to>
      <xdr:col>21</xdr:col>
      <xdr:colOff>29308</xdr:colOff>
      <xdr:row>27</xdr:row>
      <xdr:rowOff>7620</xdr:rowOff>
    </xdr:to>
    <xdr:sp macro="" textlink="">
      <xdr:nvSpPr>
        <xdr:cNvPr id="46" name="Rectangle: Rounded Corners 45">
          <a:extLst>
            <a:ext uri="{FF2B5EF4-FFF2-40B4-BE49-F238E27FC236}">
              <a16:creationId xmlns:a16="http://schemas.microsoft.com/office/drawing/2014/main" id="{C0BAF6C9-AC0F-917C-D4CB-A1DF81B9A742}"/>
            </a:ext>
          </a:extLst>
        </xdr:cNvPr>
        <xdr:cNvSpPr/>
      </xdr:nvSpPr>
      <xdr:spPr>
        <a:xfrm>
          <a:off x="9859694" y="2432538"/>
          <a:ext cx="2928229" cy="2586697"/>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169007</xdr:colOff>
      <xdr:row>12</xdr:row>
      <xdr:rowOff>146539</xdr:rowOff>
    </xdr:from>
    <xdr:to>
      <xdr:col>22</xdr:col>
      <xdr:colOff>9768</xdr:colOff>
      <xdr:row>27</xdr:row>
      <xdr:rowOff>5863</xdr:rowOff>
    </xdr:to>
    <xdr:graphicFrame macro="">
      <xdr:nvGraphicFramePr>
        <xdr:cNvPr id="47" name="Chart 46">
          <a:extLst>
            <a:ext uri="{FF2B5EF4-FFF2-40B4-BE49-F238E27FC236}">
              <a16:creationId xmlns:a16="http://schemas.microsoft.com/office/drawing/2014/main" id="{02B6A007-6453-4E7A-81A6-D1A119CD2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351692</xdr:colOff>
      <xdr:row>13</xdr:row>
      <xdr:rowOff>0</xdr:rowOff>
    </xdr:from>
    <xdr:to>
      <xdr:col>15</xdr:col>
      <xdr:colOff>586153</xdr:colOff>
      <xdr:row>26</xdr:row>
      <xdr:rowOff>175846</xdr:rowOff>
    </xdr:to>
    <xdr:graphicFrame macro="">
      <xdr:nvGraphicFramePr>
        <xdr:cNvPr id="48" name="Chart 47">
          <a:extLst>
            <a:ext uri="{FF2B5EF4-FFF2-40B4-BE49-F238E27FC236}">
              <a16:creationId xmlns:a16="http://schemas.microsoft.com/office/drawing/2014/main" id="{EC8787A4-4AE2-446B-91F4-FB43D3C15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39077</xdr:colOff>
      <xdr:row>27</xdr:row>
      <xdr:rowOff>185615</xdr:rowOff>
    </xdr:from>
    <xdr:to>
      <xdr:col>21</xdr:col>
      <xdr:colOff>595923</xdr:colOff>
      <xdr:row>44</xdr:row>
      <xdr:rowOff>166076</xdr:rowOff>
    </xdr:to>
    <xdr:graphicFrame macro="">
      <xdr:nvGraphicFramePr>
        <xdr:cNvPr id="49" name="Chart 48">
          <a:extLst>
            <a:ext uri="{FF2B5EF4-FFF2-40B4-BE49-F238E27FC236}">
              <a16:creationId xmlns:a16="http://schemas.microsoft.com/office/drawing/2014/main" id="{325FFC15-4F7E-457F-9FB1-F22492449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361460</xdr:colOff>
      <xdr:row>28</xdr:row>
      <xdr:rowOff>29307</xdr:rowOff>
    </xdr:from>
    <xdr:to>
      <xdr:col>12</xdr:col>
      <xdr:colOff>273537</xdr:colOff>
      <xdr:row>44</xdr:row>
      <xdr:rowOff>127000</xdr:rowOff>
    </xdr:to>
    <xdr:sp macro="" textlink="">
      <xdr:nvSpPr>
        <xdr:cNvPr id="50" name="Rectangle: Rounded Corners 49">
          <a:extLst>
            <a:ext uri="{FF2B5EF4-FFF2-40B4-BE49-F238E27FC236}">
              <a16:creationId xmlns:a16="http://schemas.microsoft.com/office/drawing/2014/main" id="{FEE15BC3-679E-ABDD-6616-3400B6EA3CC8}"/>
            </a:ext>
          </a:extLst>
        </xdr:cNvPr>
        <xdr:cNvSpPr/>
      </xdr:nvSpPr>
      <xdr:spPr>
        <a:xfrm>
          <a:off x="2178537" y="5226538"/>
          <a:ext cx="5402385" cy="3067539"/>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127000</xdr:colOff>
      <xdr:row>27</xdr:row>
      <xdr:rowOff>175848</xdr:rowOff>
    </xdr:from>
    <xdr:to>
      <xdr:col>12</xdr:col>
      <xdr:colOff>508000</xdr:colOff>
      <xdr:row>44</xdr:row>
      <xdr:rowOff>175846</xdr:rowOff>
    </xdr:to>
    <xdr:graphicFrame macro="">
      <xdr:nvGraphicFramePr>
        <xdr:cNvPr id="51" name="Chart 50">
          <a:extLst>
            <a:ext uri="{FF2B5EF4-FFF2-40B4-BE49-F238E27FC236}">
              <a16:creationId xmlns:a16="http://schemas.microsoft.com/office/drawing/2014/main" id="{DE817CC7-06C4-4096-8987-B0BD43930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90" refreshedDate="45922.87692638889" createdVersion="8" refreshedVersion="8" minRefreshableVersion="3" recordCount="500" xr:uid="{885D1F86-AFA1-4E1E-AB8B-543F80252239}">
  <cacheSource type="worksheet">
    <worksheetSource name="Table1"/>
  </cacheSource>
  <cacheFields count="12">
    <cacheField name="Date" numFmtId="164">
      <sharedItems containsSemiMixedTypes="0" containsNonDate="0" containsDate="1" containsString="0" minDate="2024-09-21T00:00:00" maxDate="2025-09-22T00:00:00" count="267">
        <d v="2025-04-13T00:00:00"/>
        <d v="2025-05-10T00:00:00"/>
        <d v="2024-12-14T00:00:00"/>
        <d v="2025-07-04T00:00:00"/>
        <d v="2025-03-09T00:00:00"/>
        <d v="2025-07-06T00:00:00"/>
        <d v="2025-07-10T00:00:00"/>
        <d v="2025-02-19T00:00:00"/>
        <d v="2025-08-28T00:00:00"/>
        <d v="2025-08-09T00:00:00"/>
        <d v="2024-11-04T00:00:00"/>
        <d v="2025-08-25T00:00:00"/>
        <d v="2025-02-17T00:00:00"/>
        <d v="2025-07-13T00:00:00"/>
        <d v="2025-03-27T00:00:00"/>
        <d v="2024-12-07T00:00:00"/>
        <d v="2025-03-20T00:00:00"/>
        <d v="2025-09-15T00:00:00"/>
        <d v="2025-02-18T00:00:00"/>
        <d v="2025-02-06T00:00:00"/>
        <d v="2025-07-14T00:00:00"/>
        <d v="2024-11-29T00:00:00"/>
        <d v="2025-03-16T00:00:00"/>
        <d v="2024-10-24T00:00:00"/>
        <d v="2025-09-06T00:00:00"/>
        <d v="2024-12-16T00:00:00"/>
        <d v="2025-04-07T00:00:00"/>
        <d v="2024-10-04T00:00:00"/>
        <d v="2025-05-07T00:00:00"/>
        <d v="2025-03-10T00:00:00"/>
        <d v="2025-07-31T00:00:00"/>
        <d v="2024-10-06T00:00:00"/>
        <d v="2025-05-08T00:00:00"/>
        <d v="2024-11-24T00:00:00"/>
        <d v="2025-07-05T00:00:00"/>
        <d v="2024-11-06T00:00:00"/>
        <d v="2024-11-21T00:00:00"/>
        <d v="2025-08-07T00:00:00"/>
        <d v="2024-12-06T00:00:00"/>
        <d v="2025-06-28T00:00:00"/>
        <d v="2024-10-17T00:00:00"/>
        <d v="2025-07-19T00:00:00"/>
        <d v="2025-07-03T00:00:00"/>
        <d v="2025-01-01T00:00:00"/>
        <d v="2025-08-06T00:00:00"/>
        <d v="2025-05-15T00:00:00"/>
        <d v="2025-07-26T00:00:00"/>
        <d v="2025-02-03T00:00:00"/>
        <d v="2025-08-19T00:00:00"/>
        <d v="2024-11-10T00:00:00"/>
        <d v="2025-01-18T00:00:00"/>
        <d v="2025-03-05T00:00:00"/>
        <d v="2025-02-16T00:00:00"/>
        <d v="2025-01-25T00:00:00"/>
        <d v="2025-06-22T00:00:00"/>
        <d v="2025-02-05T00:00:00"/>
        <d v="2025-02-10T00:00:00"/>
        <d v="2025-03-12T00:00:00"/>
        <d v="2025-04-08T00:00:00"/>
        <d v="2025-04-14T00:00:00"/>
        <d v="2025-05-11T00:00:00"/>
        <d v="2025-06-12T00:00:00"/>
        <d v="2025-02-23T00:00:00"/>
        <d v="2024-09-26T00:00:00"/>
        <d v="2025-01-21T00:00:00"/>
        <d v="2025-04-23T00:00:00"/>
        <d v="2024-11-26T00:00:00"/>
        <d v="2025-06-26T00:00:00"/>
        <d v="2024-12-04T00:00:00"/>
        <d v="2025-08-03T00:00:00"/>
        <d v="2025-08-26T00:00:00"/>
        <d v="2025-07-20T00:00:00"/>
        <d v="2025-05-18T00:00:00"/>
        <d v="2024-12-10T00:00:00"/>
        <d v="2025-09-14T00:00:00"/>
        <d v="2024-12-21T00:00:00"/>
        <d v="2025-02-15T00:00:00"/>
        <d v="2024-11-03T00:00:00"/>
        <d v="2024-12-28T00:00:00"/>
        <d v="2025-08-22T00:00:00"/>
        <d v="2024-11-23T00:00:00"/>
        <d v="2025-09-09T00:00:00"/>
        <d v="2025-05-24T00:00:00"/>
        <d v="2025-06-24T00:00:00"/>
        <d v="2024-11-22T00:00:00"/>
        <d v="2025-01-14T00:00:00"/>
        <d v="2025-09-11T00:00:00"/>
        <d v="2025-06-01T00:00:00"/>
        <d v="2025-06-29T00:00:00"/>
        <d v="2025-05-02T00:00:00"/>
        <d v="2025-04-04T00:00:00"/>
        <d v="2024-10-31T00:00:00"/>
        <d v="2024-12-25T00:00:00"/>
        <d v="2024-11-13T00:00:00"/>
        <d v="2025-09-16T00:00:00"/>
        <d v="2025-07-22T00:00:00"/>
        <d v="2025-05-19T00:00:00"/>
        <d v="2024-12-11T00:00:00"/>
        <d v="2024-10-15T00:00:00"/>
        <d v="2024-10-08T00:00:00"/>
        <d v="2025-06-05T00:00:00"/>
        <d v="2025-08-20T00:00:00"/>
        <d v="2025-06-30T00:00:00"/>
        <d v="2025-01-15T00:00:00"/>
        <d v="2025-08-17T00:00:00"/>
        <d v="2025-09-20T00:00:00"/>
        <d v="2025-05-04T00:00:00"/>
        <d v="2024-10-28T00:00:00"/>
        <d v="2025-05-05T00:00:00"/>
        <d v="2025-02-26T00:00:00"/>
        <d v="2024-11-25T00:00:00"/>
        <d v="2025-04-12T00:00:00"/>
        <d v="2025-03-26T00:00:00"/>
        <d v="2025-06-15T00:00:00"/>
        <d v="2025-06-16T00:00:00"/>
        <d v="2025-02-20T00:00:00"/>
        <d v="2024-10-20T00:00:00"/>
        <d v="2024-11-15T00:00:00"/>
        <d v="2025-09-01T00:00:00"/>
        <d v="2024-09-28T00:00:00"/>
        <d v="2025-03-13T00:00:00"/>
        <d v="2025-01-29T00:00:00"/>
        <d v="2025-01-30T00:00:00"/>
        <d v="2025-09-18T00:00:00"/>
        <d v="2025-07-11T00:00:00"/>
        <d v="2024-11-27T00:00:00"/>
        <d v="2025-09-12T00:00:00"/>
        <d v="2025-03-11T00:00:00"/>
        <d v="2025-03-23T00:00:00"/>
        <d v="2025-04-30T00:00:00"/>
        <d v="2024-10-23T00:00:00"/>
        <d v="2024-12-02T00:00:00"/>
        <d v="2024-12-29T00:00:00"/>
        <d v="2024-11-28T00:00:00"/>
        <d v="2024-12-12T00:00:00"/>
        <d v="2025-04-21T00:00:00"/>
        <d v="2025-03-02T00:00:00"/>
        <d v="2025-06-11T00:00:00"/>
        <d v="2024-09-21T00:00:00"/>
        <d v="2025-03-29T00:00:00"/>
        <d v="2025-03-25T00:00:00"/>
        <d v="2024-11-17T00:00:00"/>
        <d v="2024-12-23T00:00:00"/>
        <d v="2024-11-19T00:00:00"/>
        <d v="2024-10-29T00:00:00"/>
        <d v="2025-09-10T00:00:00"/>
        <d v="2024-11-08T00:00:00"/>
        <d v="2025-05-16T00:00:00"/>
        <d v="2024-12-01T00:00:00"/>
        <d v="2024-11-07T00:00:00"/>
        <d v="2025-05-22T00:00:00"/>
        <d v="2025-01-03T00:00:00"/>
        <d v="2024-12-19T00:00:00"/>
        <d v="2025-08-23T00:00:00"/>
        <d v="2025-03-07T00:00:00"/>
        <d v="2024-12-18T00:00:00"/>
        <d v="2025-06-10T00:00:00"/>
        <d v="2024-12-24T00:00:00"/>
        <d v="2025-08-29T00:00:00"/>
        <d v="2025-02-01T00:00:00"/>
        <d v="2024-12-13T00:00:00"/>
        <d v="2024-12-15T00:00:00"/>
        <d v="2025-06-21T00:00:00"/>
        <d v="2025-08-15T00:00:00"/>
        <d v="2025-03-08T00:00:00"/>
        <d v="2025-04-10T00:00:00"/>
        <d v="2024-11-30T00:00:00"/>
        <d v="2025-05-23T00:00:00"/>
        <d v="2025-01-28T00:00:00"/>
        <d v="2025-06-25T00:00:00"/>
        <d v="2025-09-21T00:00:00"/>
        <d v="2024-11-05T00:00:00"/>
        <d v="2024-10-21T00:00:00"/>
        <d v="2025-08-16T00:00:00"/>
        <d v="2025-01-04T00:00:00"/>
        <d v="2025-05-01T00:00:00"/>
        <d v="2025-05-17T00:00:00"/>
        <d v="2025-03-04T00:00:00"/>
        <d v="2025-03-01T00:00:00"/>
        <d v="2025-03-18T00:00:00"/>
        <d v="2025-05-21T00:00:00"/>
        <d v="2025-04-18T00:00:00"/>
        <d v="2024-10-11T00:00:00"/>
        <d v="2025-08-01T00:00:00"/>
        <d v="2025-04-09T00:00:00"/>
        <d v="2025-07-01T00:00:00"/>
        <d v="2025-01-05T00:00:00"/>
        <d v="2025-05-28T00:00:00"/>
        <d v="2024-11-18T00:00:00"/>
        <d v="2025-01-22T00:00:00"/>
        <d v="2025-07-30T00:00:00"/>
        <d v="2024-12-31T00:00:00"/>
        <d v="2025-07-28T00:00:00"/>
        <d v="2025-06-04T00:00:00"/>
        <d v="2025-01-02T00:00:00"/>
        <d v="2025-07-12T00:00:00"/>
        <d v="2025-02-09T00:00:00"/>
        <d v="2025-02-21T00:00:00"/>
        <d v="2025-07-29T00:00:00"/>
        <d v="2025-08-18T00:00:00"/>
        <d v="2024-11-14T00:00:00"/>
        <d v="2025-05-30T00:00:00"/>
        <d v="2025-01-12T00:00:00"/>
        <d v="2025-09-19T00:00:00"/>
        <d v="2025-03-17T00:00:00"/>
        <d v="2025-06-02T00:00:00"/>
        <d v="2025-02-24T00:00:00"/>
        <d v="2024-10-05T00:00:00"/>
        <d v="2025-04-24T00:00:00"/>
        <d v="2024-11-12T00:00:00"/>
        <d v="2025-07-18T00:00:00"/>
        <d v="2024-10-10T00:00:00"/>
        <d v="2025-06-17T00:00:00"/>
        <d v="2025-08-04T00:00:00"/>
        <d v="2025-01-13T00:00:00"/>
        <d v="2025-02-11T00:00:00"/>
        <d v="2025-01-26T00:00:00"/>
        <d v="2025-02-28T00:00:00"/>
        <d v="2024-12-05T00:00:00"/>
        <d v="2025-02-04T00:00:00"/>
        <d v="2025-04-20T00:00:00"/>
        <d v="2025-08-12T00:00:00"/>
        <d v="2025-06-20T00:00:00"/>
        <d v="2025-09-07T00:00:00"/>
        <d v="2025-07-07T00:00:00"/>
        <d v="2025-04-22T00:00:00"/>
        <d v="2025-05-26T00:00:00"/>
        <d v="2025-04-25T00:00:00"/>
        <d v="2025-06-23T00:00:00"/>
        <d v="2025-09-08T00:00:00"/>
        <d v="2024-10-02T00:00:00"/>
        <d v="2025-07-17T00:00:00"/>
        <d v="2024-12-03T00:00:00"/>
        <d v="2024-10-14T00:00:00"/>
        <d v="2025-08-30T00:00:00"/>
        <d v="2025-05-12T00:00:00"/>
        <d v="2025-03-28T00:00:00"/>
        <d v="2025-05-14T00:00:00"/>
        <d v="2025-06-06T00:00:00"/>
        <d v="2025-07-23T00:00:00"/>
        <d v="2025-03-21T00:00:00"/>
        <d v="2025-05-27T00:00:00"/>
        <d v="2025-07-21T00:00:00"/>
        <d v="2025-04-15T00:00:00"/>
        <d v="2024-09-25T00:00:00"/>
        <d v="2025-01-27T00:00:00"/>
        <d v="2025-09-13T00:00:00"/>
        <d v="2024-11-01T00:00:00"/>
        <d v="2025-01-23T00:00:00"/>
        <d v="2025-01-06T00:00:00"/>
        <d v="2024-10-07T00:00:00"/>
        <d v="2025-01-19T00:00:00"/>
        <d v="2025-08-21T00:00:00"/>
        <d v="2024-09-27T00:00:00"/>
        <d v="2024-09-23T00:00:00"/>
        <d v="2024-10-30T00:00:00"/>
        <d v="2025-08-14T00:00:00"/>
        <d v="2025-04-29T00:00:00"/>
        <d v="2025-06-18T00:00:00"/>
        <d v="2025-08-27T00:00:00"/>
        <d v="2025-07-27T00:00:00"/>
        <d v="2025-04-16T00:00:00"/>
        <d v="2024-10-09T00:00:00"/>
        <d v="2025-02-07T00:00:00"/>
        <d v="2024-09-30T00:00:00"/>
        <d v="2025-01-09T00:00:00"/>
        <d v="2025-07-16T00:00:00"/>
      </sharedItems>
      <fieldGroup par="11"/>
    </cacheField>
    <cacheField name="Sales_Person" numFmtId="0">
      <sharedItems count="499">
        <s v="Sharon Joseph"/>
        <s v="Deborah Hess"/>
        <s v="Dominique Figueroa"/>
        <s v="Kevin Lawson"/>
        <s v="Michelle Collins"/>
        <s v="Elizabeth Miller"/>
        <s v="Casey Perkins"/>
        <s v="Christopher Martin"/>
        <s v="Jennifer Moore"/>
        <s v="Melanie Lang"/>
        <s v="Justin Shelton"/>
        <s v="Casey Norman"/>
        <s v="Pamela Fisher"/>
        <s v="Danielle Palmer"/>
        <s v="Kevin Phillips"/>
        <s v="Jennifer Davis"/>
        <s v="Cynthia Nguyen"/>
        <s v="Kenneth Lara"/>
        <s v="Joseph Gonzales"/>
        <s v="Laurie Hall"/>
        <s v="Mrs. Teresa Wallace"/>
        <s v="Kari Jones"/>
        <s v="Michael Jenkins"/>
        <s v="Derrick Young"/>
        <s v="Melanie Davis"/>
        <s v="Todd Bowman"/>
        <s v="Jessica Walker"/>
        <s v="Randy Burns"/>
        <s v="Amy Tran"/>
        <s v="Heather King"/>
        <s v="Amber Smith"/>
        <s v="Benjamin Johnson"/>
        <s v="Jessica Lewis"/>
        <s v="Michael Dickerson"/>
        <s v="Stacy Lewis"/>
        <s v="Elizabeth Walker"/>
        <s v="Samuel Cochran"/>
        <s v="Jeffrey Shelton"/>
        <s v="Mary Macias"/>
        <s v="Nicole Weaver"/>
        <s v="Sharon Hill"/>
        <s v="David Hammond"/>
        <s v="Marcia Reyes"/>
        <s v="Jasmine Perkins MD"/>
        <s v="Pamela Hernandez"/>
        <s v="Heather Hamilton"/>
        <s v="Ashley Black"/>
        <s v="Melissa Smith"/>
        <s v="Jennifer Ruiz"/>
        <s v="Dr. Jessica Kemp"/>
        <s v="Samuel Price"/>
        <s v="Jesus Baird"/>
        <s v="Ronald Frost"/>
        <s v="Lindsay Cox"/>
        <s v="Sara Pope"/>
        <s v="Shannon Kennedy"/>
        <s v="Jason Rodriguez"/>
        <s v="Stephanie Glass"/>
        <s v="Danielle Wong"/>
        <s v="Stephanie Gutierrez"/>
        <s v="Michael Humphrey"/>
        <s v="Brian Dean"/>
        <s v="Deborah Banks"/>
        <s v="John Nixon"/>
        <s v="Gary Taylor"/>
        <s v="Brent Powell"/>
        <s v="Joseph Garza"/>
        <s v="Tim Gomez"/>
        <s v="Anthony Douglas"/>
        <s v="Richard Schultz"/>
        <s v="Gabrielle Bennett"/>
        <s v="Stephanie Webb"/>
        <s v="Michael Pratt"/>
        <s v="Stacie Gordon"/>
        <s v="Jason Turner"/>
        <s v="Jessica Flores"/>
        <s v="Danielle Foster"/>
        <s v="Mary Cooper"/>
        <s v="Lonnie Kim"/>
        <s v="Kevin Kim"/>
        <s v="Hayley Cox"/>
        <s v="Alyssa Jackson"/>
        <s v="Brandon Lowe"/>
        <s v="Kathy Thompson"/>
        <s v="Cindy Burton"/>
        <s v="Charles Steele"/>
        <s v="Jenna Taylor"/>
        <s v="Wendy Schultz"/>
        <s v="John Cross"/>
        <s v="Savannah Davis"/>
        <s v="Holly Jones"/>
        <s v="Mr. Bryan Salas"/>
        <s v="Keith Davidson"/>
        <s v="Christina Gonzalez"/>
        <s v="Deborah Smith"/>
        <s v="Jason Jarvis"/>
        <s v="Michelle Jackson"/>
        <s v="Jesus Henderson"/>
        <s v="Kathleen Burton"/>
        <s v="Stephanie Salinas"/>
        <s v="Phyllis Howard"/>
        <s v="Sharon Travis"/>
        <s v="Damon Rodriguez"/>
        <s v="Ricky Nguyen"/>
        <s v="Jeffrey Hoffman"/>
        <s v="Marc Sanders"/>
        <s v="Stephanie Lawson"/>
        <s v="Keith Baxter"/>
        <s v="Suzanne Mclean"/>
        <s v="Catherine Vaughn"/>
        <s v="Brianna Rios"/>
        <s v="Barbara Brown"/>
        <s v="George Collins"/>
        <s v="Amber Navarro"/>
        <s v="Todd Harrison"/>
        <s v="Kristin Garcia"/>
        <s v="Abigail Jackson"/>
        <s v="Juan Hancock"/>
        <s v="Kimberly Clark"/>
        <s v="Erika Nichols"/>
        <s v="Jenna Chang"/>
        <s v="Karen Salas"/>
        <s v="Curtis Mcdonald"/>
        <s v="Stephanie Duncan"/>
        <s v="Jeremy Miller"/>
        <s v="Cody Salazar"/>
        <s v="Kevin Weaver"/>
        <s v="Bob Browning"/>
        <s v="Theresa Hebert"/>
        <s v="Dr. Marc Castillo PhD"/>
        <s v="Elizabeth Hall"/>
        <s v="Michael Goodman"/>
        <s v="Ian Hodge"/>
        <s v="Dawn Crawford"/>
        <s v="Craig Campbell"/>
        <s v="Cindy Taylor"/>
        <s v="Kelli Proctor"/>
        <s v="Linda Goodman"/>
        <s v="Michael Rivers"/>
        <s v="James Shields"/>
        <s v="Carol Larsen"/>
        <s v="Thomas Davis"/>
        <s v="David Gonzalez"/>
        <s v="Mary Lopez"/>
        <s v="James Hodges"/>
        <s v="Mary Frazier"/>
        <s v="Jamie Powell"/>
        <s v="Paul Miller"/>
        <s v="Sherry Powers"/>
        <s v="Tony Maynard"/>
        <s v="Julie Massey"/>
        <s v="Suzanne Reynolds"/>
        <s v="Larry Lozano"/>
        <s v="Sean Love"/>
        <s v="Michelle Cox"/>
        <s v="Martha Pitts"/>
        <s v="Robert Frank"/>
        <s v="Zachary Boyd"/>
        <s v="Michael Cline"/>
        <s v="Jeremy Morgan"/>
        <s v="Lisa Wood"/>
        <s v="Matthew Rodriguez"/>
        <s v="Robert Rice"/>
        <s v="Carla James"/>
        <s v="Michael Brandt"/>
        <s v="Timothy Barnett"/>
        <s v="Kelly Brooks"/>
        <s v="Robert Smith"/>
        <s v="David Miller"/>
        <s v="Jacob Herman"/>
        <s v="Dana Hill"/>
        <s v="Andrew Schmidt"/>
        <s v="Jill Wade"/>
        <s v="Nicole Fry"/>
        <s v="Robert Ruiz"/>
        <s v="Kevin Howe"/>
        <s v="Emily Miller"/>
        <s v="Christopher Bell"/>
        <s v="Diana Herrera"/>
        <s v="Sherry Phillips"/>
        <s v="Miss Jaime Gonzalez"/>
        <s v="Eugene Butler"/>
        <s v="Eric Ramirez"/>
        <s v="April Bailey"/>
        <s v="Jonathan Smith"/>
        <s v="Alison Pruitt"/>
        <s v="Hayley Mckinney"/>
        <s v="Kelly Rangel"/>
        <s v="Carl Young"/>
        <s v="Austin Logan"/>
        <s v="John Savage"/>
        <s v="Debra Perkins"/>
        <s v="Jose Short"/>
        <s v="Ricky Anderson"/>
        <s v="Elizabeth Perez"/>
        <s v="Kevin Kane"/>
        <s v="Kathryn Craig"/>
        <s v="Eric Green"/>
        <s v="Brett Martin"/>
        <s v="Craig Wallace"/>
        <s v="Mary Mclaughlin"/>
        <s v="Lynn Sullivan"/>
        <s v="Mark Joseph"/>
        <s v="Christian Parker"/>
        <s v="Mr. Terry Williams"/>
        <s v="David Padilla"/>
        <s v="Erik Poole"/>
        <s v="Terri Hart"/>
        <s v="Fernando Torres"/>
        <s v="Jill Richards"/>
        <s v="Rachel Mitchell"/>
        <s v="Brian Hawkins"/>
        <s v="Ryan Yu"/>
        <s v="Zachary Gilmore"/>
        <s v="Joshua Fischer"/>
        <s v="Matthew Carroll"/>
        <s v="Mark Hall"/>
        <s v="Adam Lee"/>
        <s v="Stephanie Butler"/>
        <s v="Angela Mckinney"/>
        <s v="Dennis Reyes"/>
        <s v="Holly Williams"/>
        <s v="Pamela Hampton"/>
        <s v="Dorothy Mills"/>
        <s v="Cathy Bird"/>
        <s v="Brandon Hunt"/>
        <s v="Dennis Wells"/>
        <s v="Nicole Cervantes"/>
        <s v="Dalton Taylor"/>
        <s v="Kayla Franklin"/>
        <s v="Patrick Phillips"/>
        <s v="Dylan Mcdonald"/>
        <s v="David Howard"/>
        <s v="Colin Johnson"/>
        <s v="Patricia Patrick"/>
        <s v="Felicia Mckay"/>
        <s v="Felicia Turner"/>
        <s v="Lori Clark"/>
        <s v="Melissa Parker"/>
        <s v="Rhonda Schwartz"/>
        <s v="Joshua Fields"/>
        <s v="Cynthia Moore"/>
        <s v="Steven Martin"/>
        <s v="Summer Mccoy"/>
        <s v="Sheila Ferrell"/>
        <s v="Mary Fowler"/>
        <s v="Heather Jones"/>
        <s v="Alexander Thompson"/>
        <s v="Jamie Chavez"/>
        <s v="Jennifer Bishop"/>
        <s v="John Barajas"/>
        <s v="Dustin Singh"/>
        <s v="Kevin Kaiser"/>
        <s v="Matthew Oconnor"/>
        <s v="Brian Hobbs"/>
        <s v="Brian Rhodes"/>
        <s v="Victoria Young"/>
        <s v="Connie Meadows"/>
        <s v="Alexander Lopez"/>
        <s v="Lisa Cortez"/>
        <s v="Kimberly Wilkins"/>
        <s v="Dorothy Wilson"/>
        <s v="Nicholas Chase"/>
        <s v="Susan Brown"/>
        <s v="Karen Elliott"/>
        <s v="Melanie Jackson"/>
        <s v="Michael Smith"/>
        <s v="Tiffany Miller"/>
        <s v="Vanessa Sanchez"/>
        <s v="Cindy Rice"/>
        <s v="David Ford"/>
        <s v="Robert Fowler"/>
        <s v="Laurie Trujillo"/>
        <s v="Angel Tyler"/>
        <s v="Tiffany Kim"/>
        <s v="Robin Robertson"/>
        <s v="Jason Oliver"/>
        <s v="Michael Kennedy"/>
        <s v="David Washington"/>
        <s v="Matthew Vasquez"/>
        <s v="Todd Jones Jr."/>
        <s v="Linda Johns"/>
        <s v="Cathy Walker"/>
        <s v="Amy Farmer"/>
        <s v="Regina Myers"/>
        <s v="Jacob Ponce"/>
        <s v="Donna Wells"/>
        <s v="Gabriel Coleman"/>
        <s v="Christian Vazquez"/>
        <s v="Rebecca Rose"/>
        <s v="Jake Wright"/>
        <s v="Jennifer Hernandez"/>
        <s v="Christopher Casey"/>
        <s v="Christopher Berry"/>
        <s v="Tamara Campbell"/>
        <s v="Jason Lopez"/>
        <s v="Amy Hill"/>
        <s v="Dr. Michael Brown DDS"/>
        <s v="Michael Baldwin"/>
        <s v="Emily Figueroa"/>
        <s v="Jennifer Johnson"/>
        <s v="Beverly Brown"/>
        <s v="Terry Garcia"/>
        <s v="Scott Dean"/>
        <s v="Jacob White"/>
        <s v="Jenny Henry"/>
        <s v="Edward Watts"/>
        <s v="Patrick Lee DVM"/>
        <s v="Roy Parks"/>
        <s v="Jeffrey Welch"/>
        <s v="Donald Vance"/>
        <s v="Barbara Ingram"/>
        <s v="Henry Roth"/>
        <s v="Jon Smith"/>
        <s v="Victor Harrison"/>
        <s v="Diane Hogan"/>
        <s v="Andrew Sellers"/>
        <s v="Natalie Diaz DVM"/>
        <s v="Kyle Trevino"/>
        <s v="Mrs. Alison Richardson MD"/>
        <s v="Nathan Harrison"/>
        <s v="William Johnson"/>
        <s v="Megan Floyd"/>
        <s v="Tanya Washington"/>
        <s v="Austin Wright"/>
        <s v="Mrs. Amber Weaver"/>
        <s v="John Pruitt"/>
        <s v="Maria Carter"/>
        <s v="Brad Mcclure"/>
        <s v="Justin Richmond"/>
        <s v="Taylor Shepard"/>
        <s v="Catherine Roberts"/>
        <s v="John Erickson"/>
        <s v="Craig Williams"/>
        <s v="Shari Caldwell"/>
        <s v="Colleen Williams"/>
        <s v="Meredith Aguilar"/>
        <s v="Julie Horn"/>
        <s v="Jonathan Roth"/>
        <s v="Sophia Harper"/>
        <s v="Kimberly King"/>
        <s v="Phillip Jenkins"/>
        <s v="Matthew Larson"/>
        <s v="Daniel Cook"/>
        <s v="Sarah Martinez"/>
        <s v="Jacqueline Jones"/>
        <s v="Lisa Chen"/>
        <s v="Harry Nichols III"/>
        <s v="Michael Guzman"/>
        <s v="Daniel Chambers"/>
        <s v="Heather Newman"/>
        <s v="Jason Fisher"/>
        <s v="Benjamin Reed"/>
        <s v="Alexander Caldwell"/>
        <s v="Tracy Gilmore"/>
        <s v="Michael Brennan Jr."/>
        <s v="Jason Booker"/>
        <s v="Dakota Solis"/>
        <s v="Seth Wagner"/>
        <s v="Mr. Omar Lee Jr."/>
        <s v="Ashley Swanson"/>
        <s v="Sarah Reilly"/>
        <s v="Joanna Roman"/>
        <s v="Kathy Long"/>
        <s v="Theresa Smith"/>
        <s v="Erin Gomez"/>
        <s v="Kimberly Sullivan"/>
        <s v="Alicia Williams"/>
        <s v="Theresa Foster"/>
        <s v="April Johnson"/>
        <s v="Dr. Gary Hess"/>
        <s v="Thomas Jackson"/>
        <s v="Shawn Holden"/>
        <s v="Andre Riley"/>
        <s v="Mark Valentine"/>
        <s v="Jacqueline Casey"/>
        <s v="Laura Banks"/>
        <s v="Andrea Allen"/>
        <s v="Barbara Short"/>
        <s v="Jack Ingram"/>
        <s v="Toni Martinez"/>
        <s v="Samantha Snyder"/>
        <s v="Brenda Moore"/>
        <s v="Brittany Mendoza"/>
        <s v="Joseph Patel"/>
        <s v="Pamela Moody"/>
        <s v="Jennifer Miller"/>
        <s v="John Lee MD"/>
        <s v="Dylan Faulkner"/>
        <s v="Ronald Allen"/>
        <s v="Derek Hall"/>
        <s v="William Petty"/>
        <s v="Sabrina Taylor"/>
        <s v="Brian Perkins"/>
        <s v="Lawrence Reid"/>
        <s v="Pamela Rose"/>
        <s v="Francisco Buchanan"/>
        <s v="Teresa Brock"/>
        <s v="Deanna Foster"/>
        <s v="Timothy Hart"/>
        <s v="Jean Smith"/>
        <s v="Lori Rivers"/>
        <s v="Anthony Herman"/>
        <s v="Lisa Barr"/>
        <s v="Theresa Wright"/>
        <s v="Rachel Buchanan"/>
        <s v="Kimberly Warner"/>
        <s v="Caleb Edwards"/>
        <s v="Donald Young"/>
        <s v="Marisa Davis"/>
        <s v="Joshua Davis"/>
        <s v="Vincent Moore"/>
        <s v="Connie Bradley"/>
        <s v="Maria Hudson"/>
        <s v="Jacqueline Sanchez"/>
        <s v="Rebecca Reyes"/>
        <s v="Allison Jennings"/>
        <s v="Shawn Donaldson"/>
        <s v="Matthew Woods"/>
        <s v="Sergio Ruiz"/>
        <s v="Brianna Fisher"/>
        <s v="Mark Wilson"/>
        <s v="Randy Matthews"/>
        <s v="Jennifer Reese"/>
        <s v="Lindsey Figueroa"/>
        <s v="Leslie Ross"/>
        <s v="Jennifer Bruce"/>
        <s v="William Andersen"/>
        <s v="Susan Carpenter"/>
        <s v="Brandon Harrison"/>
        <s v="Keith White"/>
        <s v="James Rowe"/>
        <s v="Kelly Dorsey"/>
        <s v="Tina Morales"/>
        <s v="William Schneider"/>
        <s v="Jeremiah Gonzales"/>
        <s v="Robert Evans"/>
        <s v="Jake Kaiser"/>
        <s v="Vanessa Lynch"/>
        <s v="Jamie Garcia"/>
        <s v="Katrina Mccoy"/>
        <s v="Jennifer Smith"/>
        <s v="Evan Brown"/>
        <s v="John Woods"/>
        <s v="Lisa Robinson"/>
        <s v="Wayne Garza"/>
        <s v="Kimberly Rhodes"/>
        <s v="Becky Thomas"/>
        <s v="Elizabeth Martinez"/>
        <s v="Bethany Pham"/>
        <s v="Daniel Patterson"/>
        <s v="Rachael Sheppard"/>
        <s v="Kelli Wilson"/>
        <s v="Christopher Wall"/>
        <s v="Sheila Jones"/>
        <s v="Laurie Adams"/>
        <s v="Erin Hawkins"/>
        <s v="Dr. Amy Green"/>
        <s v="Leslie Wright"/>
        <s v="Ann Montoya"/>
        <s v="Joshua Salinas"/>
        <s v="Katherine Allen"/>
        <s v="Denise Lopez"/>
        <s v="Cassandra Strickland"/>
        <s v="Latoya Ruiz"/>
        <s v="Allison Sullivan"/>
        <s v="Vanessa Hamilton"/>
        <s v="Christopher Kennedy"/>
        <s v="Jennifer Wilkins"/>
        <s v="Elijah Booth"/>
        <s v="Mary Caldwell"/>
        <s v="Linda Thornton"/>
        <s v="Russell Franco"/>
        <s v="Trevor Watkins"/>
        <s v="Paul Johnson"/>
        <s v="Tracy Martinez"/>
        <s v="Claire Watson"/>
        <s v="Edward Kim"/>
        <s v="Lisa Newman"/>
        <s v="Lisa Coleman"/>
        <s v="Robert Rodriguez"/>
        <s v="Brian Hoover"/>
        <s v="Mark Dawson"/>
        <s v="Stephen Marshall"/>
        <s v="Dakota Hill"/>
        <s v="Jordan Hall"/>
        <s v="Daniel Alexander"/>
        <s v="Kirk Smith"/>
        <s v="Ethan Thompson"/>
        <s v="Keith Long"/>
        <s v="Dana Adkins"/>
        <s v="Hannah Patton"/>
        <s v="Timothy Tucker"/>
        <s v="Logan Contreras"/>
        <s v="Colin Riley"/>
        <s v="Eduardo Moore"/>
        <s v="Michael Barron"/>
        <s v="Ashley Stevens"/>
        <s v="Maurice Smith"/>
      </sharedItems>
    </cacheField>
    <cacheField name="Region" numFmtId="0">
      <sharedItems count="4">
        <s v="South"/>
        <s v="West"/>
        <s v="East"/>
        <s v="North"/>
      </sharedItems>
    </cacheField>
    <cacheField name="Product" numFmtId="0">
      <sharedItems count="6">
        <s v="Laptop"/>
        <s v="Phone"/>
        <s v="Headphones"/>
        <s v="Camera"/>
        <s v="Tablet"/>
        <s v="Smartwatch"/>
      </sharedItems>
    </cacheField>
    <cacheField name="Unit_Sold" numFmtId="0">
      <sharedItems containsSemiMixedTypes="0" containsString="0" containsNumber="1" containsInteger="1" minValue="1" maxValue="20" count="20">
        <n v="16"/>
        <n v="5"/>
        <n v="20"/>
        <n v="7"/>
        <n v="15"/>
        <n v="3"/>
        <n v="6"/>
        <n v="11"/>
        <n v="14"/>
        <n v="2"/>
        <n v="12"/>
        <n v="13"/>
        <n v="8"/>
        <n v="19"/>
        <n v="17"/>
        <n v="18"/>
        <n v="10"/>
        <n v="1"/>
        <n v="4"/>
        <n v="9"/>
      </sharedItems>
    </cacheField>
    <cacheField name="Unit_Price" numFmtId="0">
      <sharedItems containsSemiMixedTypes="0" containsString="0" containsNumber="1" minValue="63.48" maxValue="1995.85"/>
    </cacheField>
    <cacheField name="Cost_Goods" numFmtId="0">
      <sharedItems containsSemiMixedTypes="0" containsString="0" containsNumber="1" minValue="48.9" maxValue="1716.48"/>
    </cacheField>
    <cacheField name="Total_Sale" numFmtId="0">
      <sharedItems containsSemiMixedTypes="0" containsString="0" containsNumber="1" minValue="83.78" maxValue="39415" count="500">
        <n v="5356.48"/>
        <n v="7571.15"/>
        <n v="15967.8"/>
        <n v="12918.08"/>
        <n v="8661.9"/>
        <n v="4882.95"/>
        <n v="2839.71"/>
        <n v="3872.58"/>
        <n v="10698.38"/>
        <n v="6950.58"/>
        <n v="20766.240000000002"/>
        <n v="1135.52"/>
        <n v="10885.2"/>
        <n v="22036.14"/>
        <n v="24850.93"/>
        <n v="974.2"/>
        <n v="6295.12"/>
        <n v="12524.33"/>
        <n v="4616.26"/>
        <n v="1557.01"/>
        <n v="7714.16"/>
        <n v="4995.87"/>
        <n v="12267.5"/>
        <n v="19651.169999999998"/>
        <n v="7473.92"/>
        <n v="36393.93"/>
        <n v="10653.87"/>
        <n v="27204.3"/>
        <n v="9004.27"/>
        <n v="10170.6"/>
        <n v="21425.61"/>
        <n v="30569.4"/>
        <n v="21927.88"/>
        <n v="21941.64"/>
        <n v="372.6"/>
        <n v="11756.82"/>
        <n v="26130.32"/>
        <n v="35900.199999999997"/>
        <n v="18234.599999999999"/>
        <n v="19860.59"/>
        <n v="2977.26"/>
        <n v="3720.12"/>
        <n v="17799.099999999999"/>
        <n v="2821.68"/>
        <n v="2922.69"/>
        <n v="14316.64"/>
        <n v="438.1"/>
        <n v="1694.46"/>
        <n v="28238.04"/>
        <n v="18455.2"/>
        <n v="1235.8499999999999"/>
        <n v="2675.34"/>
        <n v="4865.1000000000004"/>
        <n v="17287.650000000001"/>
        <n v="11817.92"/>
        <n v="7782.4"/>
        <n v="12103.56"/>
        <n v="25477.919999999998"/>
        <n v="5005.88"/>
        <n v="1856.33"/>
        <n v="24924.32"/>
        <n v="15385.3"/>
        <n v="26011.599999999999"/>
        <n v="8951.69"/>
        <n v="931.2"/>
        <n v="19435.080000000002"/>
        <n v="1611.84"/>
        <n v="5295.18"/>
        <n v="24544.77"/>
        <n v="3012.48"/>
        <n v="1505.1"/>
        <n v="11860.16"/>
        <n v="13445.16"/>
        <n v="1467.42"/>
        <n v="1013.03"/>
        <n v="2517.7199999999998"/>
        <n v="17541.7"/>
        <n v="11277.63"/>
        <n v="2357.6999999999998"/>
        <n v="7085.92"/>
        <n v="7502.17"/>
        <n v="15665.72"/>
        <n v="15582.56"/>
        <n v="13962.4"/>
        <n v="6134.91"/>
        <n v="7662.6"/>
        <n v="20299.29"/>
        <n v="8168.49"/>
        <n v="7701.84"/>
        <n v="1271.68"/>
        <n v="2391.6"/>
        <n v="12973.5"/>
        <n v="166.76"/>
        <n v="1792.78"/>
        <n v="2262.36"/>
        <n v="1805.8"/>
        <n v="2060.36"/>
        <n v="6614.3"/>
        <n v="8705.61"/>
        <n v="14247.52"/>
        <n v="12946.15"/>
        <n v="6617.88"/>
        <n v="10208.280000000001"/>
        <n v="3963.54"/>
        <n v="994.84"/>
        <n v="7129.4"/>
        <n v="1125.21"/>
        <n v="29221.65"/>
        <n v="9001.33"/>
        <n v="8573.58"/>
        <n v="5611.85"/>
        <n v="7539.1"/>
        <n v="1737.2"/>
        <n v="7461.48"/>
        <n v="17748.169999999998"/>
        <n v="24596.32"/>
        <n v="7652.54"/>
        <n v="7290.64"/>
        <n v="10802.88"/>
        <n v="10924.56"/>
        <n v="14136.12"/>
        <n v="5696.16"/>
        <n v="1090.1199999999999"/>
        <n v="6607.8"/>
        <n v="15347.26"/>
        <n v="4595.97"/>
        <n v="8317.0499999999993"/>
        <n v="9544.68"/>
        <n v="27949.19"/>
        <n v="12339.96"/>
        <n v="11346"/>
        <n v="12669.36"/>
        <n v="6394.18"/>
        <n v="1688.5"/>
        <n v="7456.4"/>
        <n v="1124.0999999999999"/>
        <n v="6165.76"/>
        <n v="3373.72"/>
        <n v="5323.32"/>
        <n v="1171.8"/>
        <n v="10798.83"/>
        <n v="28310.400000000001"/>
        <n v="13685.84"/>
        <n v="9671.4699999999993"/>
        <n v="35676.54"/>
        <n v="5202.4399999999996"/>
        <n v="12256.27"/>
        <n v="297.7"/>
        <n v="4517.1000000000004"/>
        <n v="5530.64"/>
        <n v="13216.97"/>
        <n v="919.98"/>
        <n v="5521.38"/>
        <n v="26511.8"/>
        <n v="6562.92"/>
        <n v="2833.86"/>
        <n v="8851.43"/>
        <n v="15946.11"/>
        <n v="3198.12"/>
        <n v="20335.77"/>
        <n v="2105.96"/>
        <n v="24228.23"/>
        <n v="11419.7"/>
        <n v="2905.65"/>
        <n v="11090"/>
        <n v="6782.05"/>
        <n v="11553.78"/>
        <n v="9056.5499999999993"/>
        <n v="10279.5"/>
        <n v="21553.09"/>
        <n v="1773.92"/>
        <n v="3418.85"/>
        <n v="621.84"/>
        <n v="31728.78"/>
        <n v="359.05"/>
        <n v="636.96"/>
        <n v="2883.63"/>
        <n v="3855.02"/>
        <n v="3836.86"/>
        <n v="6254.22"/>
        <n v="2390.2800000000002"/>
        <n v="1664.13"/>
        <n v="1685.02"/>
        <n v="478.82"/>
        <n v="1688.9"/>
        <n v="21123.85"/>
        <n v="25676.14"/>
        <n v="2444.3200000000002"/>
        <n v="9670.08"/>
        <n v="9033.7999999999993"/>
        <n v="17944.11"/>
        <n v="23855.8"/>
        <n v="3843.73"/>
        <n v="30797.1"/>
        <n v="1248.25"/>
        <n v="823.38"/>
        <n v="6422.48"/>
        <n v="29702.560000000001"/>
        <n v="18371.3"/>
        <n v="35019.800000000003"/>
        <n v="3988.68"/>
        <n v="13126.77"/>
        <n v="17204"/>
        <n v="6753"/>
        <n v="39415"/>
        <n v="12374.46"/>
        <n v="1268.23"/>
        <n v="1462.41"/>
        <n v="6151.36"/>
        <n v="16954.68"/>
        <n v="15624.56"/>
        <n v="19547.52"/>
        <n v="5817.75"/>
        <n v="6347.9"/>
        <n v="20627.46"/>
        <n v="750.3"/>
        <n v="8891.6200000000008"/>
        <n v="9110.75"/>
        <n v="685.56"/>
        <n v="18406.259999999998"/>
        <n v="1182.95"/>
        <n v="10106.459999999999"/>
        <n v="10944.45"/>
        <n v="7071.13"/>
        <n v="6543.24"/>
        <n v="14321.89"/>
        <n v="32763.98"/>
        <n v="1161.02"/>
        <n v="3923.7"/>
        <n v="4982.45"/>
        <n v="22156.959999999999"/>
        <n v="1905.05"/>
        <n v="2037"/>
        <n v="23805.360000000001"/>
        <n v="3284.89"/>
        <n v="29555.1"/>
        <n v="14909.49"/>
        <n v="19042.38"/>
        <n v="8972"/>
        <n v="5048.5600000000004"/>
        <n v="27906.44"/>
        <n v="5016.42"/>
        <n v="1467.2"/>
        <n v="17297.599999999999"/>
        <n v="26869.919999999998"/>
        <n v="17502.21"/>
        <n v="3291.86"/>
        <n v="9853.92"/>
        <n v="10924.48"/>
        <n v="2522.58"/>
        <n v="3653.52"/>
        <n v="30485.88"/>
        <n v="11503.71"/>
        <n v="9239.76"/>
        <n v="6119.56"/>
        <n v="5678.01"/>
        <n v="898.32"/>
        <n v="34112.03"/>
        <n v="7829.35"/>
        <n v="4843.1000000000004"/>
        <n v="1469.14"/>
        <n v="2260.17"/>
        <n v="13331.08"/>
        <n v="20482.400000000001"/>
        <n v="7533.05"/>
        <n v="3408.9"/>
        <n v="13621.16"/>
        <n v="15231.44"/>
        <n v="26742.78"/>
        <n v="693.68"/>
        <n v="83.78"/>
        <n v="9988.56"/>
        <n v="8963.2199999999993"/>
        <n v="4442.05"/>
        <n v="2130.4"/>
        <n v="1175.44"/>
        <n v="7831.34"/>
        <n v="11506.5"/>
        <n v="360.38"/>
        <n v="31849.919999999998"/>
        <n v="6431.52"/>
        <n v="21656.28"/>
        <n v="28230.75"/>
        <n v="14704.76"/>
        <n v="29207.88"/>
        <n v="20356.650000000001"/>
        <n v="1386.33"/>
        <n v="9858.94"/>
        <n v="12102.93"/>
        <n v="27043.200000000001"/>
        <n v="8674.51"/>
        <n v="2664.9"/>
        <n v="3335.76"/>
        <n v="29313.200000000001"/>
        <n v="5714.28"/>
        <n v="6176.96"/>
        <n v="3484.08"/>
        <n v="17232.32"/>
        <n v="33533.480000000003"/>
        <n v="16474.88"/>
        <n v="10916.4"/>
        <n v="2698.74"/>
        <n v="11041.44"/>
        <n v="12041.4"/>
        <n v="16143.93"/>
        <n v="19935.89"/>
        <n v="20058.080000000002"/>
        <n v="2867.48"/>
        <n v="10599"/>
        <n v="16275.93"/>
        <n v="2169.75"/>
        <n v="23363.88"/>
        <n v="1232.3699999999999"/>
        <n v="5943.6"/>
        <n v="8241.4500000000007"/>
        <n v="13507.29"/>
        <n v="641.04"/>
        <n v="830.76"/>
        <n v="7368.31"/>
        <n v="9362.07"/>
        <n v="17812.689999999999"/>
        <n v="26787.75"/>
        <n v="12349.65"/>
        <n v="1173.96"/>
        <n v="11098.23"/>
        <n v="18014.919999999998"/>
        <n v="26788.05"/>
        <n v="8180.3"/>
        <n v="3766.92"/>
        <n v="17519.689999999999"/>
        <n v="5725.98"/>
        <n v="418.5"/>
        <n v="34921.26"/>
        <n v="33805.69"/>
        <n v="26064.23"/>
        <n v="17007.75"/>
        <n v="25303.68"/>
        <n v="129.15"/>
        <n v="1098.3599999999999"/>
        <n v="19308.77"/>
        <n v="624.89"/>
        <n v="8514.7199999999993"/>
        <n v="10921.5"/>
        <n v="7294.35"/>
        <n v="16706.88"/>
        <n v="3726"/>
        <n v="8617.5"/>
        <n v="9685.27"/>
        <n v="1513.92"/>
        <n v="29880.36"/>
        <n v="7067.4"/>
        <n v="16547.88"/>
        <n v="17055.169999999998"/>
        <n v="13428.16"/>
        <n v="37238.67"/>
        <n v="767.2"/>
        <n v="5987.55"/>
        <n v="27406.720000000001"/>
        <n v="10403.15"/>
        <n v="2924.04"/>
        <n v="12154.11"/>
        <n v="19481.849999999999"/>
        <n v="3476.9"/>
        <n v="4334.58"/>
        <n v="7876.6"/>
        <n v="22176.57"/>
        <n v="24194.799999999999"/>
        <n v="25245.72"/>
        <n v="32252.880000000001"/>
        <n v="6280.65"/>
        <n v="6158.6"/>
        <n v="12548.7"/>
        <n v="7442.26"/>
        <n v="15544.76"/>
        <n v="14244.98"/>
        <n v="5789.61"/>
        <n v="28906"/>
        <n v="2278.48"/>
        <n v="2459.6"/>
        <n v="18750.3"/>
        <n v="7051.8"/>
        <n v="21473.72"/>
        <n v="2549.89"/>
        <n v="8141.12"/>
        <n v="5084"/>
        <n v="17217.900000000001"/>
        <n v="9543.56"/>
        <n v="3025.35"/>
        <n v="5246.6"/>
        <n v="9624.83"/>
        <n v="17432.240000000002"/>
        <n v="3856.09"/>
        <n v="1666.26"/>
        <n v="22598.6"/>
        <n v="5226.9799999999996"/>
        <n v="9285"/>
        <n v="2745.94"/>
        <n v="15393"/>
        <n v="16508.88"/>
        <n v="5104.8"/>
        <n v="3684.84"/>
        <n v="4178.08"/>
        <n v="26278.38"/>
        <n v="6381.63"/>
        <n v="1756.68"/>
        <n v="3046"/>
        <n v="18590.099999999999"/>
        <n v="7932.45"/>
        <n v="16565.509999999998"/>
        <n v="9256.24"/>
        <n v="9821.16"/>
        <n v="5267.4"/>
        <n v="7846.48"/>
        <n v="16184.17"/>
        <n v="1050.24"/>
        <n v="1610.28"/>
        <n v="14626.2"/>
        <n v="5251.08"/>
        <n v="5960.04"/>
        <n v="19923.96"/>
        <n v="22791.05"/>
        <n v="5473.6"/>
        <n v="29048.720000000001"/>
        <n v="1005.46"/>
        <n v="1025.74"/>
        <n v="4798.92"/>
        <n v="9424.7999999999993"/>
        <n v="3998.94"/>
        <n v="3027.75"/>
        <n v="2338.59"/>
        <n v="11641.49"/>
        <n v="9369.66"/>
        <n v="9928.9599999999991"/>
        <n v="15611.73"/>
        <n v="1800.74"/>
        <n v="17652.48"/>
        <n v="24570.75"/>
        <n v="14711.58"/>
        <n v="21121.65"/>
        <n v="24942.91"/>
        <n v="392.84"/>
        <n v="1614.07"/>
        <n v="6882.68"/>
        <n v="2415.48"/>
        <n v="22344.14"/>
        <n v="6096.86"/>
        <n v="2592.54"/>
        <n v="20884.63"/>
        <n v="5449.68"/>
        <n v="12363.93"/>
        <n v="7780.04"/>
        <n v="28174.799999999999"/>
        <n v="9216.6299999999992"/>
        <n v="1693.31"/>
        <n v="9954.5400000000009"/>
        <n v="26378.400000000001"/>
        <n v="4583.8"/>
        <n v="28189.23"/>
        <n v="2969.05"/>
        <n v="22996.959999999999"/>
        <n v="12511.17"/>
        <n v="15169.7"/>
        <n v="1750.04"/>
        <n v="6459.53"/>
        <n v="16094.76"/>
        <n v="1340.33"/>
        <n v="11341.44"/>
        <n v="7751.4"/>
        <n v="1125.5"/>
        <n v="31466"/>
        <n v="2184.3200000000002"/>
        <n v="2780.1"/>
        <n v="3400.11"/>
        <n v="9593.85"/>
        <n v="1932.9"/>
        <n v="5678.8"/>
        <n v="3085.08"/>
        <n v="16857.599999999999"/>
        <n v="1142.6400000000001"/>
        <n v="1965.52"/>
        <n v="11398.77"/>
        <n v="2459.64"/>
        <n v="23256.400000000001"/>
        <n v="2344.6"/>
        <n v="5956.08"/>
        <n v="7141"/>
        <n v="2497.9"/>
        <n v="9122"/>
        <n v="17413.2"/>
        <n v="14147.02"/>
        <n v="6240.32"/>
        <n v="2720.4"/>
        <n v="1353.51"/>
        <n v="1313.14"/>
        <n v="1388.38"/>
        <n v="4845.72"/>
        <n v="9140.16"/>
        <n v="140.68"/>
        <n v="18219.599999999999"/>
        <n v="1293.96"/>
      </sharedItems>
    </cacheField>
    <cacheField name="profit" numFmtId="0">
      <sharedItems containsSemiMixedTypes="0" containsString="0" containsNumber="1" minValue="25.360000000000014" maxValue="14618.400000000001"/>
    </cacheField>
    <cacheField name="Months (Date)" numFmtId="0" databaseField="0">
      <fieldGroup base="0">
        <rangePr groupBy="months" startDate="2024-09-21T00:00:00" endDate="2025-09-22T00:00:00"/>
        <groupItems count="14">
          <s v="&lt;21/09/2024"/>
          <s v="Jan"/>
          <s v="Feb"/>
          <s v="Mar"/>
          <s v="Apr"/>
          <s v="May"/>
          <s v="Jun"/>
          <s v="Jul"/>
          <s v="Aug"/>
          <s v="Sept"/>
          <s v="Oct"/>
          <s v="Nov"/>
          <s v="Dec"/>
          <s v="&gt;22/09/2025"/>
        </groupItems>
      </fieldGroup>
    </cacheField>
    <cacheField name="Quarters (Date)" numFmtId="0" databaseField="0">
      <fieldGroup base="0">
        <rangePr groupBy="quarters" startDate="2024-09-21T00:00:00" endDate="2025-09-22T00:00:00"/>
        <groupItems count="6">
          <s v="&lt;21/09/2024"/>
          <s v="Qtr1"/>
          <s v="Qtr2"/>
          <s v="Qtr3"/>
          <s v="Qtr4"/>
          <s v="&gt;22/09/2025"/>
        </groupItems>
      </fieldGroup>
    </cacheField>
    <cacheField name="Years (Date)" numFmtId="0" databaseField="0">
      <fieldGroup base="0">
        <rangePr groupBy="years" startDate="2024-09-21T00:00:00" endDate="2025-09-22T00:00:00"/>
        <groupItems count="4">
          <s v="&lt;21/09/2024"/>
          <s v="2024"/>
          <s v="2025"/>
          <s v="&gt;22/09/2025"/>
        </groupItems>
      </fieldGroup>
    </cacheField>
  </cacheFields>
  <extLst>
    <ext xmlns:x14="http://schemas.microsoft.com/office/spreadsheetml/2009/9/main" uri="{725AE2AE-9491-48be-B2B4-4EB974FC3084}">
      <x14:pivotCacheDefinition pivotCacheId="51653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334.78"/>
    <n v="234.5"/>
    <x v="0"/>
    <n v="1604.4799999999996"/>
  </r>
  <r>
    <x v="1"/>
    <x v="1"/>
    <x v="1"/>
    <x v="1"/>
    <x v="1"/>
    <n v="1514.23"/>
    <n v="1058.1400000000001"/>
    <x v="1"/>
    <n v="2280.4499999999989"/>
  </r>
  <r>
    <x v="2"/>
    <x v="2"/>
    <x v="0"/>
    <x v="1"/>
    <x v="2"/>
    <n v="798.39"/>
    <n v="629.51"/>
    <x v="2"/>
    <n v="3377.5999999999985"/>
  </r>
  <r>
    <x v="3"/>
    <x v="3"/>
    <x v="0"/>
    <x v="2"/>
    <x v="3"/>
    <n v="1845.44"/>
    <n v="1429.81"/>
    <x v="3"/>
    <n v="2909.41"/>
  </r>
  <r>
    <x v="4"/>
    <x v="4"/>
    <x v="1"/>
    <x v="3"/>
    <x v="4"/>
    <n v="577.46"/>
    <n v="421.71"/>
    <x v="4"/>
    <n v="2336.25"/>
  </r>
  <r>
    <x v="2"/>
    <x v="5"/>
    <x v="2"/>
    <x v="4"/>
    <x v="5"/>
    <n v="1627.65"/>
    <n v="1178.82"/>
    <x v="5"/>
    <n v="1346.4899999999998"/>
  </r>
  <r>
    <x v="5"/>
    <x v="6"/>
    <x v="0"/>
    <x v="4"/>
    <x v="5"/>
    <n v="946.57"/>
    <n v="665.41"/>
    <x v="6"/>
    <n v="843.48"/>
  </r>
  <r>
    <x v="6"/>
    <x v="7"/>
    <x v="3"/>
    <x v="2"/>
    <x v="6"/>
    <n v="645.42999999999995"/>
    <n v="446.17"/>
    <x v="7"/>
    <n v="1195.56"/>
  </r>
  <r>
    <x v="6"/>
    <x v="8"/>
    <x v="2"/>
    <x v="2"/>
    <x v="7"/>
    <n v="972.58"/>
    <n v="804.71"/>
    <x v="8"/>
    <n v="1846.5699999999979"/>
  </r>
  <r>
    <x v="7"/>
    <x v="9"/>
    <x v="0"/>
    <x v="4"/>
    <x v="8"/>
    <n v="496.47"/>
    <n v="309.83"/>
    <x v="9"/>
    <n v="2612.96"/>
  </r>
  <r>
    <x v="8"/>
    <x v="10"/>
    <x v="1"/>
    <x v="0"/>
    <x v="0"/>
    <n v="1297.8900000000001"/>
    <n v="828.66"/>
    <x v="10"/>
    <n v="7507.6800000000021"/>
  </r>
  <r>
    <x v="9"/>
    <x v="11"/>
    <x v="1"/>
    <x v="2"/>
    <x v="9"/>
    <n v="567.76"/>
    <n v="343.75"/>
    <x v="11"/>
    <n v="448.02"/>
  </r>
  <r>
    <x v="10"/>
    <x v="12"/>
    <x v="1"/>
    <x v="0"/>
    <x v="10"/>
    <n v="907.1"/>
    <n v="660.82"/>
    <x v="12"/>
    <n v="2955.3600000000006"/>
  </r>
  <r>
    <x v="11"/>
    <x v="13"/>
    <x v="0"/>
    <x v="0"/>
    <x v="8"/>
    <n v="1574.01"/>
    <n v="1357.19"/>
    <x v="13"/>
    <n v="3035.4799999999996"/>
  </r>
  <r>
    <x v="12"/>
    <x v="14"/>
    <x v="0"/>
    <x v="5"/>
    <x v="11"/>
    <n v="1911.61"/>
    <n v="1556.96"/>
    <x v="14"/>
    <n v="4610.4500000000007"/>
  </r>
  <r>
    <x v="13"/>
    <x v="15"/>
    <x v="3"/>
    <x v="3"/>
    <x v="9"/>
    <n v="487.1"/>
    <n v="316.38"/>
    <x v="15"/>
    <n v="341.44000000000005"/>
  </r>
  <r>
    <x v="14"/>
    <x v="16"/>
    <x v="3"/>
    <x v="2"/>
    <x v="11"/>
    <n v="484.24"/>
    <n v="366.66"/>
    <x v="16"/>
    <n v="1528.54"/>
  </r>
  <r>
    <x v="15"/>
    <x v="17"/>
    <x v="3"/>
    <x v="1"/>
    <x v="3"/>
    <n v="1789.19"/>
    <n v="1303.0999999999999"/>
    <x v="17"/>
    <n v="3402.630000000001"/>
  </r>
  <r>
    <x v="16"/>
    <x v="18"/>
    <x v="0"/>
    <x v="0"/>
    <x v="7"/>
    <n v="419.66"/>
    <n v="266.76"/>
    <x v="18"/>
    <n v="1681.9000000000005"/>
  </r>
  <r>
    <x v="17"/>
    <x v="19"/>
    <x v="3"/>
    <x v="1"/>
    <x v="11"/>
    <n v="119.77"/>
    <n v="90.3"/>
    <x v="19"/>
    <n v="383.11000000000013"/>
  </r>
  <r>
    <x v="18"/>
    <x v="20"/>
    <x v="3"/>
    <x v="2"/>
    <x v="12"/>
    <n v="964.27"/>
    <n v="768.59"/>
    <x v="20"/>
    <n v="1565.4399999999996"/>
  </r>
  <r>
    <x v="1"/>
    <x v="21"/>
    <x v="3"/>
    <x v="0"/>
    <x v="5"/>
    <n v="1665.29"/>
    <n v="1172.8499999999999"/>
    <x v="21"/>
    <n v="1477.3200000000002"/>
  </r>
  <r>
    <x v="19"/>
    <x v="22"/>
    <x v="2"/>
    <x v="4"/>
    <x v="8"/>
    <n v="876.25"/>
    <n v="780.45"/>
    <x v="22"/>
    <n v="1341.1999999999989"/>
  </r>
  <r>
    <x v="20"/>
    <x v="23"/>
    <x v="3"/>
    <x v="2"/>
    <x v="7"/>
    <n v="1786.47"/>
    <n v="1097.9000000000001"/>
    <x v="23"/>
    <n v="7574.2699999999968"/>
  </r>
  <r>
    <x v="21"/>
    <x v="24"/>
    <x v="3"/>
    <x v="3"/>
    <x v="12"/>
    <n v="934.24"/>
    <n v="778.4"/>
    <x v="24"/>
    <n v="1246.7200000000003"/>
  </r>
  <r>
    <x v="22"/>
    <x v="25"/>
    <x v="0"/>
    <x v="5"/>
    <x v="13"/>
    <n v="1915.47"/>
    <n v="1332.07"/>
    <x v="25"/>
    <n v="11084.600000000002"/>
  </r>
  <r>
    <x v="23"/>
    <x v="26"/>
    <x v="2"/>
    <x v="2"/>
    <x v="13"/>
    <n v="560.73"/>
    <n v="369.01"/>
    <x v="26"/>
    <n v="3642.6800000000012"/>
  </r>
  <r>
    <x v="24"/>
    <x v="27"/>
    <x v="2"/>
    <x v="4"/>
    <x v="4"/>
    <n v="1813.62"/>
    <n v="1280.7"/>
    <x v="27"/>
    <n v="7993.7999999999993"/>
  </r>
  <r>
    <x v="25"/>
    <x v="28"/>
    <x v="3"/>
    <x v="4"/>
    <x v="7"/>
    <n v="818.57"/>
    <n v="627.1"/>
    <x v="28"/>
    <n v="2106.17"/>
  </r>
  <r>
    <x v="26"/>
    <x v="29"/>
    <x v="3"/>
    <x v="3"/>
    <x v="4"/>
    <n v="678.04"/>
    <n v="593.32000000000005"/>
    <x v="29"/>
    <n v="1270.7999999999993"/>
  </r>
  <r>
    <x v="27"/>
    <x v="30"/>
    <x v="0"/>
    <x v="2"/>
    <x v="14"/>
    <n v="1260.33"/>
    <n v="986.94"/>
    <x v="30"/>
    <n v="4647.630000000001"/>
  </r>
  <r>
    <x v="28"/>
    <x v="31"/>
    <x v="0"/>
    <x v="1"/>
    <x v="15"/>
    <n v="1698.3"/>
    <n v="1229.73"/>
    <x v="31"/>
    <n v="8434.260000000002"/>
  </r>
  <r>
    <x v="29"/>
    <x v="32"/>
    <x v="1"/>
    <x v="2"/>
    <x v="11"/>
    <n v="1686.76"/>
    <n v="1310.98"/>
    <x v="32"/>
    <n v="4885.1399999999994"/>
  </r>
  <r>
    <x v="30"/>
    <x v="33"/>
    <x v="1"/>
    <x v="4"/>
    <x v="15"/>
    <n v="1218.98"/>
    <n v="804.86"/>
    <x v="33"/>
    <n v="7454.16"/>
  </r>
  <r>
    <x v="5"/>
    <x v="34"/>
    <x v="1"/>
    <x v="2"/>
    <x v="1"/>
    <n v="74.52"/>
    <n v="57.42"/>
    <x v="34"/>
    <n v="85.5"/>
  </r>
  <r>
    <x v="31"/>
    <x v="35"/>
    <x v="0"/>
    <x v="5"/>
    <x v="13"/>
    <n v="618.78"/>
    <n v="469.16"/>
    <x v="35"/>
    <n v="2842.7799999999988"/>
  </r>
  <r>
    <x v="32"/>
    <x v="36"/>
    <x v="0"/>
    <x v="5"/>
    <x v="13"/>
    <n v="1375.28"/>
    <n v="838.35"/>
    <x v="36"/>
    <n v="10201.67"/>
  </r>
  <r>
    <x v="33"/>
    <x v="37"/>
    <x v="0"/>
    <x v="5"/>
    <x v="2"/>
    <n v="1795.01"/>
    <n v="1140.17"/>
    <x v="37"/>
    <n v="13096.799999999996"/>
  </r>
  <r>
    <x v="34"/>
    <x v="38"/>
    <x v="3"/>
    <x v="0"/>
    <x v="16"/>
    <n v="1823.46"/>
    <n v="1516.75"/>
    <x v="38"/>
    <n v="3067.0999999999985"/>
  </r>
  <r>
    <x v="35"/>
    <x v="39"/>
    <x v="0"/>
    <x v="2"/>
    <x v="14"/>
    <n v="1168.27"/>
    <n v="1012.33"/>
    <x v="39"/>
    <n v="2650.9799999999996"/>
  </r>
  <r>
    <x v="2"/>
    <x v="40"/>
    <x v="1"/>
    <x v="2"/>
    <x v="9"/>
    <n v="1488.63"/>
    <n v="1140.3399999999999"/>
    <x v="40"/>
    <n v="696.58000000000038"/>
  </r>
  <r>
    <x v="22"/>
    <x v="41"/>
    <x v="0"/>
    <x v="5"/>
    <x v="6"/>
    <n v="620.02"/>
    <n v="419.07"/>
    <x v="41"/>
    <n v="1205.6999999999998"/>
  </r>
  <r>
    <x v="36"/>
    <x v="42"/>
    <x v="1"/>
    <x v="2"/>
    <x v="7"/>
    <n v="1618.1"/>
    <n v="1164.74"/>
    <x v="42"/>
    <n v="4986.9599999999991"/>
  </r>
  <r>
    <x v="9"/>
    <x v="43"/>
    <x v="3"/>
    <x v="4"/>
    <x v="6"/>
    <n v="470.28"/>
    <n v="409.76"/>
    <x v="43"/>
    <n v="363.11999999999989"/>
  </r>
  <r>
    <x v="31"/>
    <x v="44"/>
    <x v="1"/>
    <x v="2"/>
    <x v="5"/>
    <n v="974.23"/>
    <n v="797.57"/>
    <x v="44"/>
    <n v="529.98"/>
  </r>
  <r>
    <x v="37"/>
    <x v="45"/>
    <x v="2"/>
    <x v="3"/>
    <x v="11"/>
    <n v="1101.28"/>
    <n v="940.22"/>
    <x v="45"/>
    <n v="2093.7799999999988"/>
  </r>
  <r>
    <x v="38"/>
    <x v="46"/>
    <x v="1"/>
    <x v="3"/>
    <x v="1"/>
    <n v="87.62"/>
    <n v="71.25"/>
    <x v="46"/>
    <n v="81.850000000000023"/>
  </r>
  <r>
    <x v="12"/>
    <x v="47"/>
    <x v="1"/>
    <x v="3"/>
    <x v="17"/>
    <n v="1694.46"/>
    <n v="1479.08"/>
    <x v="47"/>
    <n v="215.38000000000011"/>
  </r>
  <r>
    <x v="39"/>
    <x v="48"/>
    <x v="1"/>
    <x v="4"/>
    <x v="15"/>
    <n v="1568.78"/>
    <n v="1017.79"/>
    <x v="48"/>
    <n v="9917.82"/>
  </r>
  <r>
    <x v="40"/>
    <x v="49"/>
    <x v="1"/>
    <x v="4"/>
    <x v="2"/>
    <n v="922.76"/>
    <n v="807.87"/>
    <x v="49"/>
    <n v="2297.8000000000011"/>
  </r>
  <r>
    <x v="41"/>
    <x v="50"/>
    <x v="1"/>
    <x v="1"/>
    <x v="7"/>
    <n v="112.35"/>
    <n v="75.680000000000007"/>
    <x v="50"/>
    <n v="403.36999999999989"/>
  </r>
  <r>
    <x v="42"/>
    <x v="51"/>
    <x v="2"/>
    <x v="0"/>
    <x v="15"/>
    <n v="148.63"/>
    <n v="91.1"/>
    <x v="51"/>
    <n v="1035.5400000000002"/>
  </r>
  <r>
    <x v="43"/>
    <x v="52"/>
    <x v="2"/>
    <x v="2"/>
    <x v="16"/>
    <n v="486.51"/>
    <n v="302.31"/>
    <x v="52"/>
    <n v="1842.0000000000005"/>
  </r>
  <r>
    <x v="44"/>
    <x v="53"/>
    <x v="3"/>
    <x v="0"/>
    <x v="4"/>
    <n v="1152.51"/>
    <n v="912.45"/>
    <x v="53"/>
    <n v="3600.9000000000015"/>
  </r>
  <r>
    <x v="45"/>
    <x v="54"/>
    <x v="0"/>
    <x v="2"/>
    <x v="12"/>
    <n v="1477.24"/>
    <n v="1295.79"/>
    <x v="54"/>
    <n v="1451.6000000000004"/>
  </r>
  <r>
    <x v="22"/>
    <x v="55"/>
    <x v="3"/>
    <x v="1"/>
    <x v="12"/>
    <n v="972.8"/>
    <n v="784.56"/>
    <x v="55"/>
    <n v="1505.92"/>
  </r>
  <r>
    <x v="46"/>
    <x v="56"/>
    <x v="0"/>
    <x v="0"/>
    <x v="8"/>
    <n v="864.54"/>
    <n v="776.23"/>
    <x v="56"/>
    <n v="1236.3399999999983"/>
  </r>
  <r>
    <x v="47"/>
    <x v="57"/>
    <x v="0"/>
    <x v="2"/>
    <x v="11"/>
    <n v="1959.84"/>
    <n v="1209.1500000000001"/>
    <x v="57"/>
    <n v="9758.9699999999975"/>
  </r>
  <r>
    <x v="48"/>
    <x v="58"/>
    <x v="2"/>
    <x v="0"/>
    <x v="7"/>
    <n v="455.08"/>
    <n v="380.57"/>
    <x v="58"/>
    <n v="819.61000000000058"/>
  </r>
  <r>
    <x v="49"/>
    <x v="59"/>
    <x v="1"/>
    <x v="0"/>
    <x v="17"/>
    <n v="1856.33"/>
    <n v="1182.1400000000001"/>
    <x v="59"/>
    <n v="674.18999999999983"/>
  </r>
  <r>
    <x v="50"/>
    <x v="60"/>
    <x v="3"/>
    <x v="3"/>
    <x v="0"/>
    <n v="1557.77"/>
    <n v="1360.55"/>
    <x v="60"/>
    <n v="3155.5200000000004"/>
  </r>
  <r>
    <x v="51"/>
    <x v="61"/>
    <x v="3"/>
    <x v="4"/>
    <x v="16"/>
    <n v="1538.53"/>
    <n v="954.52"/>
    <x v="61"/>
    <n v="5840.0999999999985"/>
  </r>
  <r>
    <x v="52"/>
    <x v="62"/>
    <x v="3"/>
    <x v="2"/>
    <x v="2"/>
    <n v="1300.58"/>
    <n v="1028.4000000000001"/>
    <x v="62"/>
    <n v="5443.5999999999985"/>
  </r>
  <r>
    <x v="53"/>
    <x v="63"/>
    <x v="2"/>
    <x v="5"/>
    <x v="7"/>
    <n v="813.79"/>
    <n v="569.69000000000005"/>
    <x v="63"/>
    <n v="2685.1000000000004"/>
  </r>
  <r>
    <x v="54"/>
    <x v="64"/>
    <x v="2"/>
    <x v="0"/>
    <x v="18"/>
    <n v="232.8"/>
    <n v="143.72"/>
    <x v="64"/>
    <n v="356.32000000000005"/>
  </r>
  <r>
    <x v="42"/>
    <x v="65"/>
    <x v="2"/>
    <x v="1"/>
    <x v="14"/>
    <n v="1143.24"/>
    <n v="925.53"/>
    <x v="65"/>
    <n v="3701.0700000000015"/>
  </r>
  <r>
    <x v="43"/>
    <x v="66"/>
    <x v="0"/>
    <x v="4"/>
    <x v="10"/>
    <n v="134.32"/>
    <n v="111.8"/>
    <x v="66"/>
    <n v="270.24"/>
  </r>
  <r>
    <x v="55"/>
    <x v="67"/>
    <x v="2"/>
    <x v="1"/>
    <x v="7"/>
    <n v="481.38"/>
    <n v="320.55"/>
    <x v="67"/>
    <n v="1769.13"/>
  </r>
  <r>
    <x v="56"/>
    <x v="68"/>
    <x v="1"/>
    <x v="5"/>
    <x v="14"/>
    <n v="1443.81"/>
    <n v="926.53"/>
    <x v="68"/>
    <n v="8793.76"/>
  </r>
  <r>
    <x v="57"/>
    <x v="69"/>
    <x v="1"/>
    <x v="0"/>
    <x v="0"/>
    <n v="188.28"/>
    <n v="148.27000000000001"/>
    <x v="69"/>
    <n v="640.15999999999985"/>
  </r>
  <r>
    <x v="58"/>
    <x v="70"/>
    <x v="1"/>
    <x v="4"/>
    <x v="4"/>
    <n v="100.34"/>
    <n v="61.7"/>
    <x v="70"/>
    <n v="579.59999999999991"/>
  </r>
  <r>
    <x v="59"/>
    <x v="71"/>
    <x v="2"/>
    <x v="0"/>
    <x v="12"/>
    <n v="1482.52"/>
    <n v="1165.46"/>
    <x v="71"/>
    <n v="2536.4799999999996"/>
  </r>
  <r>
    <x v="60"/>
    <x v="72"/>
    <x v="1"/>
    <x v="0"/>
    <x v="10"/>
    <n v="1120.43"/>
    <n v="672.46"/>
    <x v="72"/>
    <n v="5375.6399999999994"/>
  </r>
  <r>
    <x v="61"/>
    <x v="73"/>
    <x v="0"/>
    <x v="1"/>
    <x v="6"/>
    <n v="244.57"/>
    <n v="187.52"/>
    <x v="73"/>
    <n v="342.29999999999995"/>
  </r>
  <r>
    <x v="45"/>
    <x v="74"/>
    <x v="2"/>
    <x v="2"/>
    <x v="17"/>
    <n v="1013.03"/>
    <n v="764.36"/>
    <x v="74"/>
    <n v="248.66999999999996"/>
  </r>
  <r>
    <x v="62"/>
    <x v="75"/>
    <x v="1"/>
    <x v="1"/>
    <x v="6"/>
    <n v="419.62"/>
    <n v="359.76"/>
    <x v="75"/>
    <n v="359.15999999999985"/>
  </r>
  <r>
    <x v="63"/>
    <x v="76"/>
    <x v="2"/>
    <x v="4"/>
    <x v="16"/>
    <n v="1754.17"/>
    <n v="1072.3"/>
    <x v="76"/>
    <n v="6818.7000000000007"/>
  </r>
  <r>
    <x v="64"/>
    <x v="77"/>
    <x v="2"/>
    <x v="2"/>
    <x v="11"/>
    <n v="867.51"/>
    <n v="544.41"/>
    <x v="77"/>
    <n v="4200.2999999999993"/>
  </r>
  <r>
    <x v="65"/>
    <x v="78"/>
    <x v="3"/>
    <x v="3"/>
    <x v="5"/>
    <n v="785.9"/>
    <n v="491.15"/>
    <x v="78"/>
    <n v="884.25"/>
  </r>
  <r>
    <x v="39"/>
    <x v="79"/>
    <x v="2"/>
    <x v="2"/>
    <x v="12"/>
    <n v="885.74"/>
    <n v="783.35"/>
    <x v="79"/>
    <n v="819.11999999999989"/>
  </r>
  <r>
    <x v="66"/>
    <x v="80"/>
    <x v="2"/>
    <x v="1"/>
    <x v="11"/>
    <n v="577.09"/>
    <n v="431.9"/>
    <x v="80"/>
    <n v="1887.4700000000003"/>
  </r>
  <r>
    <x v="0"/>
    <x v="81"/>
    <x v="3"/>
    <x v="4"/>
    <x v="8"/>
    <n v="1118.98"/>
    <n v="754.78"/>
    <x v="81"/>
    <n v="5098.7999999999993"/>
  </r>
  <r>
    <x v="67"/>
    <x v="82"/>
    <x v="1"/>
    <x v="1"/>
    <x v="12"/>
    <n v="1947.82"/>
    <n v="1187.1400000000001"/>
    <x v="82"/>
    <n v="6085.4399999999987"/>
  </r>
  <r>
    <x v="46"/>
    <x v="83"/>
    <x v="0"/>
    <x v="0"/>
    <x v="16"/>
    <n v="1396.24"/>
    <n v="1224.26"/>
    <x v="83"/>
    <n v="1719.7999999999993"/>
  </r>
  <r>
    <x v="68"/>
    <x v="84"/>
    <x v="2"/>
    <x v="3"/>
    <x v="13"/>
    <n v="322.89"/>
    <n v="229.02"/>
    <x v="84"/>
    <n v="1783.5299999999997"/>
  </r>
  <r>
    <x v="69"/>
    <x v="85"/>
    <x v="2"/>
    <x v="1"/>
    <x v="6"/>
    <n v="1277.0999999999999"/>
    <n v="1010.58"/>
    <x v="85"/>
    <n v="1599.12"/>
  </r>
  <r>
    <x v="70"/>
    <x v="86"/>
    <x v="0"/>
    <x v="4"/>
    <x v="7"/>
    <n v="1845.39"/>
    <n v="1647.42"/>
    <x v="86"/>
    <n v="2177.6699999999983"/>
  </r>
  <r>
    <x v="71"/>
    <x v="87"/>
    <x v="0"/>
    <x v="3"/>
    <x v="19"/>
    <n v="907.61"/>
    <n v="573.46"/>
    <x v="87"/>
    <n v="3007.3499999999995"/>
  </r>
  <r>
    <x v="72"/>
    <x v="88"/>
    <x v="3"/>
    <x v="5"/>
    <x v="15"/>
    <n v="427.88"/>
    <n v="300.26"/>
    <x v="88"/>
    <n v="2297.16"/>
  </r>
  <r>
    <x v="73"/>
    <x v="89"/>
    <x v="0"/>
    <x v="0"/>
    <x v="0"/>
    <n v="79.48"/>
    <n v="57.03"/>
    <x v="89"/>
    <n v="359.20000000000005"/>
  </r>
  <r>
    <x v="74"/>
    <x v="90"/>
    <x v="2"/>
    <x v="1"/>
    <x v="12"/>
    <n v="298.95"/>
    <n v="220.37"/>
    <x v="90"/>
    <n v="628.63999999999987"/>
  </r>
  <r>
    <x v="75"/>
    <x v="91"/>
    <x v="1"/>
    <x v="3"/>
    <x v="16"/>
    <n v="1297.3499999999999"/>
    <n v="1140.24"/>
    <x v="91"/>
    <n v="1571.1000000000004"/>
  </r>
  <r>
    <x v="47"/>
    <x v="92"/>
    <x v="1"/>
    <x v="0"/>
    <x v="9"/>
    <n v="83.38"/>
    <n v="60.64"/>
    <x v="92"/>
    <n v="45.47999999999999"/>
  </r>
  <r>
    <x v="76"/>
    <x v="93"/>
    <x v="0"/>
    <x v="2"/>
    <x v="17"/>
    <n v="1792.78"/>
    <n v="1253.31"/>
    <x v="93"/>
    <n v="539.47"/>
  </r>
  <r>
    <x v="77"/>
    <x v="94"/>
    <x v="2"/>
    <x v="4"/>
    <x v="6"/>
    <n v="377.06"/>
    <n v="236.68"/>
    <x v="94"/>
    <n v="842.2800000000002"/>
  </r>
  <r>
    <x v="78"/>
    <x v="95"/>
    <x v="2"/>
    <x v="1"/>
    <x v="17"/>
    <n v="1805.8"/>
    <n v="1112.4100000000001"/>
    <x v="95"/>
    <n v="693.38999999999987"/>
  </r>
  <r>
    <x v="79"/>
    <x v="96"/>
    <x v="1"/>
    <x v="4"/>
    <x v="13"/>
    <n v="108.44"/>
    <n v="97.21"/>
    <x v="96"/>
    <n v="213.37000000000035"/>
  </r>
  <r>
    <x v="80"/>
    <x v="97"/>
    <x v="1"/>
    <x v="3"/>
    <x v="7"/>
    <n v="601.29999999999995"/>
    <n v="404.08"/>
    <x v="97"/>
    <n v="2169.42"/>
  </r>
  <r>
    <x v="81"/>
    <x v="98"/>
    <x v="1"/>
    <x v="1"/>
    <x v="13"/>
    <n v="458.19"/>
    <n v="283.97000000000003"/>
    <x v="98"/>
    <n v="3310.1800000000003"/>
  </r>
  <r>
    <x v="82"/>
    <x v="99"/>
    <x v="2"/>
    <x v="3"/>
    <x v="12"/>
    <n v="1780.94"/>
    <n v="1501.47"/>
    <x v="99"/>
    <n v="2235.7600000000002"/>
  </r>
  <r>
    <x v="83"/>
    <x v="100"/>
    <x v="2"/>
    <x v="2"/>
    <x v="3"/>
    <n v="1849.45"/>
    <n v="1340.52"/>
    <x v="100"/>
    <n v="3562.51"/>
  </r>
  <r>
    <x v="84"/>
    <x v="101"/>
    <x v="3"/>
    <x v="4"/>
    <x v="15"/>
    <n v="367.66"/>
    <n v="325.31"/>
    <x v="101"/>
    <n v="762.30000000000018"/>
  </r>
  <r>
    <x v="85"/>
    <x v="102"/>
    <x v="3"/>
    <x v="0"/>
    <x v="10"/>
    <n v="850.69"/>
    <n v="682.69"/>
    <x v="102"/>
    <n v="2016"/>
  </r>
  <r>
    <x v="48"/>
    <x v="103"/>
    <x v="1"/>
    <x v="5"/>
    <x v="3"/>
    <n v="566.22"/>
    <n v="377.02"/>
    <x v="103"/>
    <n v="1324.4"/>
  </r>
  <r>
    <x v="86"/>
    <x v="104"/>
    <x v="3"/>
    <x v="0"/>
    <x v="8"/>
    <n v="71.06"/>
    <n v="61.76"/>
    <x v="104"/>
    <n v="130.20000000000005"/>
  </r>
  <r>
    <x v="87"/>
    <x v="105"/>
    <x v="1"/>
    <x v="2"/>
    <x v="16"/>
    <n v="712.94"/>
    <n v="639.14"/>
    <x v="105"/>
    <n v="738"/>
  </r>
  <r>
    <x v="0"/>
    <x v="106"/>
    <x v="1"/>
    <x v="0"/>
    <x v="5"/>
    <n v="375.07"/>
    <n v="337.2"/>
    <x v="106"/>
    <n v="113.61000000000013"/>
  </r>
  <r>
    <x v="88"/>
    <x v="107"/>
    <x v="3"/>
    <x v="3"/>
    <x v="4"/>
    <n v="1948.11"/>
    <n v="1522.2"/>
    <x v="107"/>
    <n v="6388.6500000000015"/>
  </r>
  <r>
    <x v="89"/>
    <x v="108"/>
    <x v="1"/>
    <x v="2"/>
    <x v="14"/>
    <n v="529.49"/>
    <n v="397.72"/>
    <x v="108"/>
    <n v="2240.0899999999992"/>
  </r>
  <r>
    <x v="46"/>
    <x v="109"/>
    <x v="1"/>
    <x v="5"/>
    <x v="19"/>
    <n v="952.62"/>
    <n v="728.29"/>
    <x v="109"/>
    <n v="2018.9700000000003"/>
  </r>
  <r>
    <x v="90"/>
    <x v="110"/>
    <x v="3"/>
    <x v="4"/>
    <x v="1"/>
    <n v="1122.3699999999999"/>
    <n v="1004.44"/>
    <x v="110"/>
    <n v="589.64999999999964"/>
  </r>
  <r>
    <x v="91"/>
    <x v="111"/>
    <x v="3"/>
    <x v="0"/>
    <x v="1"/>
    <n v="1507.82"/>
    <n v="1147.46"/>
    <x v="111"/>
    <n v="1801.8000000000002"/>
  </r>
  <r>
    <x v="40"/>
    <x v="112"/>
    <x v="0"/>
    <x v="3"/>
    <x v="2"/>
    <n v="86.86"/>
    <n v="74.2"/>
    <x v="112"/>
    <n v="253.20000000000005"/>
  </r>
  <r>
    <x v="92"/>
    <x v="113"/>
    <x v="1"/>
    <x v="5"/>
    <x v="18"/>
    <n v="1865.37"/>
    <n v="1183.9000000000001"/>
    <x v="113"/>
    <n v="2725.8799999999992"/>
  </r>
  <r>
    <x v="86"/>
    <x v="114"/>
    <x v="2"/>
    <x v="0"/>
    <x v="14"/>
    <n v="1044.01"/>
    <n v="899.06"/>
    <x v="114"/>
    <n v="2464.1499999999996"/>
  </r>
  <r>
    <x v="93"/>
    <x v="115"/>
    <x v="2"/>
    <x v="2"/>
    <x v="0"/>
    <n v="1537.27"/>
    <n v="994.15"/>
    <x v="115"/>
    <n v="8689.92"/>
  </r>
  <r>
    <x v="94"/>
    <x v="116"/>
    <x v="3"/>
    <x v="1"/>
    <x v="3"/>
    <n v="1093.22"/>
    <n v="701.59"/>
    <x v="116"/>
    <n v="2741.41"/>
  </r>
  <r>
    <x v="8"/>
    <x v="117"/>
    <x v="1"/>
    <x v="0"/>
    <x v="8"/>
    <n v="520.76"/>
    <n v="358.65"/>
    <x v="117"/>
    <n v="2269.5400000000009"/>
  </r>
  <r>
    <x v="95"/>
    <x v="118"/>
    <x v="3"/>
    <x v="5"/>
    <x v="10"/>
    <n v="900.24"/>
    <n v="645.39"/>
    <x v="118"/>
    <n v="3058.1999999999989"/>
  </r>
  <r>
    <x v="63"/>
    <x v="119"/>
    <x v="2"/>
    <x v="2"/>
    <x v="6"/>
    <n v="1820.76"/>
    <n v="1297.4000000000001"/>
    <x v="119"/>
    <n v="3140.1599999999989"/>
  </r>
  <r>
    <x v="78"/>
    <x v="120"/>
    <x v="1"/>
    <x v="1"/>
    <x v="10"/>
    <n v="1178.01"/>
    <n v="899.05"/>
    <x v="120"/>
    <n v="3347.5200000000023"/>
  </r>
  <r>
    <x v="96"/>
    <x v="121"/>
    <x v="2"/>
    <x v="2"/>
    <x v="10"/>
    <n v="474.68"/>
    <n v="288.06"/>
    <x v="121"/>
    <n v="2239.4399999999996"/>
  </r>
  <r>
    <x v="97"/>
    <x v="122"/>
    <x v="3"/>
    <x v="5"/>
    <x v="18"/>
    <n v="272.52999999999997"/>
    <n v="220.65"/>
    <x v="122"/>
    <n v="207.51999999999987"/>
  </r>
  <r>
    <x v="45"/>
    <x v="123"/>
    <x v="2"/>
    <x v="0"/>
    <x v="1"/>
    <n v="1321.56"/>
    <n v="894.08"/>
    <x v="123"/>
    <n v="2137.3999999999996"/>
  </r>
  <r>
    <x v="98"/>
    <x v="124"/>
    <x v="2"/>
    <x v="1"/>
    <x v="14"/>
    <n v="902.78"/>
    <n v="778.91"/>
    <x v="124"/>
    <n v="2105.7900000000009"/>
  </r>
  <r>
    <x v="99"/>
    <x v="125"/>
    <x v="0"/>
    <x v="2"/>
    <x v="5"/>
    <n v="1531.99"/>
    <n v="1131.6500000000001"/>
    <x v="125"/>
    <n v="1201.02"/>
  </r>
  <r>
    <x v="100"/>
    <x v="126"/>
    <x v="3"/>
    <x v="2"/>
    <x v="3"/>
    <n v="1188.1500000000001"/>
    <n v="757.54"/>
    <x v="126"/>
    <n v="3014.2699999999995"/>
  </r>
  <r>
    <x v="101"/>
    <x v="127"/>
    <x v="1"/>
    <x v="0"/>
    <x v="15"/>
    <n v="530.26"/>
    <n v="427.04"/>
    <x v="127"/>
    <n v="1857.96"/>
  </r>
  <r>
    <x v="102"/>
    <x v="128"/>
    <x v="0"/>
    <x v="3"/>
    <x v="13"/>
    <n v="1471.01"/>
    <n v="1258.5899999999999"/>
    <x v="128"/>
    <n v="4035.9799999999996"/>
  </r>
  <r>
    <x v="103"/>
    <x v="129"/>
    <x v="1"/>
    <x v="1"/>
    <x v="14"/>
    <n v="725.88"/>
    <n v="534.83000000000004"/>
    <x v="129"/>
    <n v="3247.8499999999985"/>
  </r>
  <r>
    <x v="104"/>
    <x v="130"/>
    <x v="1"/>
    <x v="1"/>
    <x v="4"/>
    <n v="756.4"/>
    <n v="523.39"/>
    <x v="130"/>
    <n v="3495.1500000000005"/>
  </r>
  <r>
    <x v="105"/>
    <x v="131"/>
    <x v="3"/>
    <x v="2"/>
    <x v="10"/>
    <n v="1055.78"/>
    <n v="788.76"/>
    <x v="131"/>
    <n v="3204.2400000000016"/>
  </r>
  <r>
    <x v="106"/>
    <x v="132"/>
    <x v="0"/>
    <x v="3"/>
    <x v="11"/>
    <n v="491.86"/>
    <n v="439.09"/>
    <x v="132"/>
    <n v="686.01000000000022"/>
  </r>
  <r>
    <x v="32"/>
    <x v="133"/>
    <x v="2"/>
    <x v="5"/>
    <x v="16"/>
    <n v="168.85"/>
    <n v="141.65"/>
    <x v="133"/>
    <n v="272"/>
  </r>
  <r>
    <x v="107"/>
    <x v="134"/>
    <x v="3"/>
    <x v="0"/>
    <x v="12"/>
    <n v="932.05"/>
    <n v="574.89"/>
    <x v="134"/>
    <n v="2857.2799999999997"/>
  </r>
  <r>
    <x v="108"/>
    <x v="135"/>
    <x v="2"/>
    <x v="1"/>
    <x v="1"/>
    <n v="224.82"/>
    <n v="151.32"/>
    <x v="135"/>
    <n v="367.5"/>
  </r>
  <r>
    <x v="109"/>
    <x v="136"/>
    <x v="2"/>
    <x v="2"/>
    <x v="0"/>
    <n v="385.36"/>
    <n v="283.64"/>
    <x v="136"/>
    <n v="1627.5200000000004"/>
  </r>
  <r>
    <x v="110"/>
    <x v="137"/>
    <x v="3"/>
    <x v="1"/>
    <x v="3"/>
    <n v="481.96"/>
    <n v="374.09"/>
    <x v="137"/>
    <n v="755.09000000000015"/>
  </r>
  <r>
    <x v="111"/>
    <x v="138"/>
    <x v="1"/>
    <x v="4"/>
    <x v="6"/>
    <n v="887.22"/>
    <n v="701.92"/>
    <x v="138"/>
    <n v="1111.8000000000002"/>
  </r>
  <r>
    <x v="112"/>
    <x v="139"/>
    <x v="3"/>
    <x v="0"/>
    <x v="1"/>
    <n v="234.36"/>
    <n v="143.37"/>
    <x v="139"/>
    <n v="454.94999999999993"/>
  </r>
  <r>
    <x v="70"/>
    <x v="140"/>
    <x v="2"/>
    <x v="1"/>
    <x v="19"/>
    <n v="1199.8699999999999"/>
    <n v="754.75"/>
    <x v="140"/>
    <n v="4006.08"/>
  </r>
  <r>
    <x v="6"/>
    <x v="141"/>
    <x v="2"/>
    <x v="5"/>
    <x v="2"/>
    <n v="1415.52"/>
    <n v="937.37"/>
    <x v="141"/>
    <n v="9563"/>
  </r>
  <r>
    <x v="76"/>
    <x v="142"/>
    <x v="3"/>
    <x v="5"/>
    <x v="12"/>
    <n v="1710.73"/>
    <n v="1379.71"/>
    <x v="142"/>
    <n v="2648.16"/>
  </r>
  <r>
    <x v="113"/>
    <x v="143"/>
    <x v="3"/>
    <x v="5"/>
    <x v="14"/>
    <n v="568.91"/>
    <n v="429.99"/>
    <x v="143"/>
    <n v="2361.6399999999994"/>
  </r>
  <r>
    <x v="114"/>
    <x v="144"/>
    <x v="2"/>
    <x v="3"/>
    <x v="15"/>
    <n v="1982.03"/>
    <n v="1716.48"/>
    <x v="144"/>
    <n v="4779.9000000000015"/>
  </r>
  <r>
    <x v="115"/>
    <x v="145"/>
    <x v="2"/>
    <x v="2"/>
    <x v="18"/>
    <n v="1300.6099999999999"/>
    <n v="824.58"/>
    <x v="145"/>
    <n v="1904.1199999999994"/>
  </r>
  <r>
    <x v="116"/>
    <x v="146"/>
    <x v="2"/>
    <x v="5"/>
    <x v="11"/>
    <n v="942.79"/>
    <n v="742.84"/>
    <x v="146"/>
    <n v="2599.3500000000004"/>
  </r>
  <r>
    <x v="117"/>
    <x v="147"/>
    <x v="0"/>
    <x v="4"/>
    <x v="17"/>
    <n v="297.7"/>
    <n v="232.79"/>
    <x v="147"/>
    <n v="64.91"/>
  </r>
  <r>
    <x v="118"/>
    <x v="148"/>
    <x v="1"/>
    <x v="1"/>
    <x v="19"/>
    <n v="501.9"/>
    <n v="383.73"/>
    <x v="148"/>
    <n v="1063.5300000000002"/>
  </r>
  <r>
    <x v="92"/>
    <x v="149"/>
    <x v="1"/>
    <x v="3"/>
    <x v="18"/>
    <n v="1382.66"/>
    <n v="1157.45"/>
    <x v="149"/>
    <n v="900.84000000000015"/>
  </r>
  <r>
    <x v="86"/>
    <x v="150"/>
    <x v="3"/>
    <x v="3"/>
    <x v="11"/>
    <n v="1016.69"/>
    <n v="775.89"/>
    <x v="150"/>
    <n v="3130.3999999999996"/>
  </r>
  <r>
    <x v="119"/>
    <x v="151"/>
    <x v="1"/>
    <x v="4"/>
    <x v="17"/>
    <n v="919.98"/>
    <n v="803.86"/>
    <x v="151"/>
    <n v="116.12"/>
  </r>
  <r>
    <x v="120"/>
    <x v="152"/>
    <x v="3"/>
    <x v="0"/>
    <x v="6"/>
    <n v="920.23"/>
    <n v="554.41"/>
    <x v="152"/>
    <n v="2194.92"/>
  </r>
  <r>
    <x v="112"/>
    <x v="153"/>
    <x v="3"/>
    <x v="2"/>
    <x v="2"/>
    <n v="1325.59"/>
    <n v="1113.03"/>
    <x v="153"/>
    <n v="4251.2000000000007"/>
  </r>
  <r>
    <x v="121"/>
    <x v="154"/>
    <x v="3"/>
    <x v="1"/>
    <x v="8"/>
    <n v="468.78"/>
    <n v="367.94"/>
    <x v="154"/>
    <n v="1411.7600000000002"/>
  </r>
  <r>
    <x v="122"/>
    <x v="155"/>
    <x v="1"/>
    <x v="0"/>
    <x v="5"/>
    <n v="944.62"/>
    <n v="696.78"/>
    <x v="155"/>
    <n v="743.52"/>
  </r>
  <r>
    <x v="123"/>
    <x v="156"/>
    <x v="3"/>
    <x v="0"/>
    <x v="3"/>
    <n v="1264.49"/>
    <n v="1029.25"/>
    <x v="156"/>
    <n v="1646.6800000000003"/>
  </r>
  <r>
    <x v="124"/>
    <x v="157"/>
    <x v="0"/>
    <x v="4"/>
    <x v="19"/>
    <n v="1771.79"/>
    <n v="1098.97"/>
    <x v="157"/>
    <n v="6055.380000000001"/>
  </r>
  <r>
    <x v="125"/>
    <x v="158"/>
    <x v="1"/>
    <x v="3"/>
    <x v="9"/>
    <n v="1599.06"/>
    <n v="1313.25"/>
    <x v="158"/>
    <n v="571.61999999999989"/>
  </r>
  <r>
    <x v="126"/>
    <x v="159"/>
    <x v="2"/>
    <x v="4"/>
    <x v="11"/>
    <n v="1564.29"/>
    <n v="1072.18"/>
    <x v="159"/>
    <n v="6397.43"/>
  </r>
  <r>
    <x v="127"/>
    <x v="160"/>
    <x v="0"/>
    <x v="2"/>
    <x v="9"/>
    <n v="1052.98"/>
    <n v="783.78"/>
    <x v="160"/>
    <n v="538.40000000000009"/>
  </r>
  <r>
    <x v="61"/>
    <x v="161"/>
    <x v="3"/>
    <x v="3"/>
    <x v="14"/>
    <n v="1425.19"/>
    <n v="960.73"/>
    <x v="161"/>
    <n v="7895.82"/>
  </r>
  <r>
    <x v="128"/>
    <x v="162"/>
    <x v="0"/>
    <x v="0"/>
    <x v="16"/>
    <n v="1141.97"/>
    <n v="804.62"/>
    <x v="162"/>
    <n v="3373.5000000000009"/>
  </r>
  <r>
    <x v="68"/>
    <x v="163"/>
    <x v="0"/>
    <x v="0"/>
    <x v="1"/>
    <n v="581.13"/>
    <n v="457.91"/>
    <x v="163"/>
    <n v="616.09999999999991"/>
  </r>
  <r>
    <x v="48"/>
    <x v="164"/>
    <x v="3"/>
    <x v="1"/>
    <x v="2"/>
    <n v="554.5"/>
    <n v="450.36"/>
    <x v="164"/>
    <n v="2082.7999999999993"/>
  </r>
  <r>
    <x v="129"/>
    <x v="165"/>
    <x v="3"/>
    <x v="3"/>
    <x v="7"/>
    <n v="616.54999999999995"/>
    <n v="472.61"/>
    <x v="165"/>
    <n v="1583.3400000000001"/>
  </r>
  <r>
    <x v="130"/>
    <x v="166"/>
    <x v="0"/>
    <x v="5"/>
    <x v="6"/>
    <n v="1925.63"/>
    <n v="1637.56"/>
    <x v="166"/>
    <n v="1728.42"/>
  </r>
  <r>
    <x v="121"/>
    <x v="167"/>
    <x v="2"/>
    <x v="5"/>
    <x v="4"/>
    <n v="603.77"/>
    <n v="434.1"/>
    <x v="167"/>
    <n v="2545.0499999999993"/>
  </r>
  <r>
    <x v="105"/>
    <x v="168"/>
    <x v="0"/>
    <x v="4"/>
    <x v="4"/>
    <n v="685.3"/>
    <n v="609.46"/>
    <x v="168"/>
    <n v="1137.5999999999985"/>
  </r>
  <r>
    <x v="131"/>
    <x v="169"/>
    <x v="0"/>
    <x v="0"/>
    <x v="11"/>
    <n v="1657.93"/>
    <n v="1103.33"/>
    <x v="169"/>
    <n v="7209.8000000000011"/>
  </r>
  <r>
    <x v="33"/>
    <x v="170"/>
    <x v="3"/>
    <x v="1"/>
    <x v="18"/>
    <n v="443.48"/>
    <n v="378.03"/>
    <x v="170"/>
    <n v="261.80000000000018"/>
  </r>
  <r>
    <x v="95"/>
    <x v="171"/>
    <x v="3"/>
    <x v="0"/>
    <x v="1"/>
    <n v="683.77"/>
    <n v="527.67999999999995"/>
    <x v="171"/>
    <n v="780.45000000000027"/>
  </r>
  <r>
    <x v="132"/>
    <x v="172"/>
    <x v="2"/>
    <x v="4"/>
    <x v="6"/>
    <n v="103.64"/>
    <n v="66.040000000000006"/>
    <x v="172"/>
    <n v="225.60000000000002"/>
  </r>
  <r>
    <x v="9"/>
    <x v="173"/>
    <x v="3"/>
    <x v="4"/>
    <x v="15"/>
    <n v="1762.71"/>
    <n v="1287.97"/>
    <x v="173"/>
    <n v="8545.32"/>
  </r>
  <r>
    <x v="133"/>
    <x v="174"/>
    <x v="2"/>
    <x v="2"/>
    <x v="1"/>
    <n v="71.81"/>
    <n v="57.06"/>
    <x v="174"/>
    <n v="73.75"/>
  </r>
  <r>
    <x v="134"/>
    <x v="175"/>
    <x v="3"/>
    <x v="0"/>
    <x v="18"/>
    <n v="159.24"/>
    <n v="104.41"/>
    <x v="175"/>
    <n v="219.32000000000005"/>
  </r>
  <r>
    <x v="135"/>
    <x v="176"/>
    <x v="3"/>
    <x v="3"/>
    <x v="5"/>
    <n v="961.21"/>
    <n v="786.43"/>
    <x v="176"/>
    <n v="524.34000000000015"/>
  </r>
  <r>
    <x v="136"/>
    <x v="177"/>
    <x v="1"/>
    <x v="5"/>
    <x v="9"/>
    <n v="1927.51"/>
    <n v="1472.99"/>
    <x v="177"/>
    <n v="909.04"/>
  </r>
  <r>
    <x v="137"/>
    <x v="178"/>
    <x v="1"/>
    <x v="0"/>
    <x v="9"/>
    <n v="1918.43"/>
    <n v="1270.6600000000001"/>
    <x v="178"/>
    <n v="1295.54"/>
  </r>
  <r>
    <x v="10"/>
    <x v="179"/>
    <x v="0"/>
    <x v="1"/>
    <x v="6"/>
    <n v="1042.3699999999999"/>
    <n v="828.2"/>
    <x v="179"/>
    <n v="1285.0199999999995"/>
  </r>
  <r>
    <x v="138"/>
    <x v="180"/>
    <x v="0"/>
    <x v="5"/>
    <x v="6"/>
    <n v="398.38"/>
    <n v="356.78"/>
    <x v="180"/>
    <n v="249.60000000000036"/>
  </r>
  <r>
    <x v="67"/>
    <x v="181"/>
    <x v="3"/>
    <x v="2"/>
    <x v="11"/>
    <n v="128.01"/>
    <n v="81.91"/>
    <x v="181"/>
    <n v="599.30000000000018"/>
  </r>
  <r>
    <x v="139"/>
    <x v="182"/>
    <x v="3"/>
    <x v="2"/>
    <x v="9"/>
    <n v="842.51"/>
    <n v="562.63"/>
    <x v="182"/>
    <n v="559.76"/>
  </r>
  <r>
    <x v="140"/>
    <x v="183"/>
    <x v="0"/>
    <x v="2"/>
    <x v="17"/>
    <n v="478.82"/>
    <n v="354.87"/>
    <x v="183"/>
    <n v="123.94999999999999"/>
  </r>
  <r>
    <x v="5"/>
    <x v="184"/>
    <x v="1"/>
    <x v="4"/>
    <x v="9"/>
    <n v="844.45"/>
    <n v="644.94000000000005"/>
    <x v="184"/>
    <n v="399.02"/>
  </r>
  <r>
    <x v="141"/>
    <x v="185"/>
    <x v="1"/>
    <x v="1"/>
    <x v="7"/>
    <n v="1920.35"/>
    <n v="1295.23"/>
    <x v="185"/>
    <n v="6876.3199999999979"/>
  </r>
  <r>
    <x v="142"/>
    <x v="186"/>
    <x v="1"/>
    <x v="1"/>
    <x v="8"/>
    <n v="1834.01"/>
    <n v="1488.87"/>
    <x v="186"/>
    <n v="4831.9599999999991"/>
  </r>
  <r>
    <x v="117"/>
    <x v="187"/>
    <x v="0"/>
    <x v="0"/>
    <x v="9"/>
    <n v="1222.1600000000001"/>
    <n v="1050.92"/>
    <x v="187"/>
    <n v="342.48"/>
  </r>
  <r>
    <x v="143"/>
    <x v="188"/>
    <x v="3"/>
    <x v="4"/>
    <x v="6"/>
    <n v="1611.68"/>
    <n v="967.3"/>
    <x v="188"/>
    <n v="3866.2800000000007"/>
  </r>
  <r>
    <x v="34"/>
    <x v="189"/>
    <x v="1"/>
    <x v="5"/>
    <x v="16"/>
    <n v="903.38"/>
    <n v="569.47"/>
    <x v="189"/>
    <n v="3339.0999999999985"/>
  </r>
  <r>
    <x v="136"/>
    <x v="190"/>
    <x v="3"/>
    <x v="3"/>
    <x v="19"/>
    <n v="1993.79"/>
    <n v="1375.91"/>
    <x v="190"/>
    <n v="5560.92"/>
  </r>
  <r>
    <x v="144"/>
    <x v="191"/>
    <x v="2"/>
    <x v="0"/>
    <x v="2"/>
    <n v="1192.79"/>
    <n v="836.07"/>
    <x v="191"/>
    <n v="7134.3999999999978"/>
  </r>
  <r>
    <x v="48"/>
    <x v="192"/>
    <x v="1"/>
    <x v="3"/>
    <x v="7"/>
    <n v="349.43"/>
    <n v="286.81"/>
    <x v="192"/>
    <n v="688.82000000000016"/>
  </r>
  <r>
    <x v="111"/>
    <x v="193"/>
    <x v="1"/>
    <x v="3"/>
    <x v="15"/>
    <n v="1710.95"/>
    <n v="1536.97"/>
    <x v="193"/>
    <n v="3131.6399999999994"/>
  </r>
  <r>
    <x v="145"/>
    <x v="194"/>
    <x v="0"/>
    <x v="4"/>
    <x v="17"/>
    <n v="1248.25"/>
    <n v="984.61"/>
    <x v="194"/>
    <n v="263.64"/>
  </r>
  <r>
    <x v="119"/>
    <x v="195"/>
    <x v="0"/>
    <x v="1"/>
    <x v="6"/>
    <n v="137.22999999999999"/>
    <n v="111.44"/>
    <x v="195"/>
    <n v="154.74"/>
  </r>
  <r>
    <x v="146"/>
    <x v="196"/>
    <x v="3"/>
    <x v="4"/>
    <x v="18"/>
    <n v="1605.62"/>
    <n v="1336.08"/>
    <x v="196"/>
    <n v="1078.1599999999999"/>
  </r>
  <r>
    <x v="147"/>
    <x v="197"/>
    <x v="2"/>
    <x v="3"/>
    <x v="0"/>
    <n v="1856.41"/>
    <n v="1335.44"/>
    <x v="197"/>
    <n v="8335.52"/>
  </r>
  <r>
    <x v="148"/>
    <x v="198"/>
    <x v="3"/>
    <x v="1"/>
    <x v="16"/>
    <n v="1837.13"/>
    <n v="1592.22"/>
    <x v="198"/>
    <n v="2449.0999999999985"/>
  </r>
  <r>
    <x v="149"/>
    <x v="199"/>
    <x v="2"/>
    <x v="5"/>
    <x v="2"/>
    <n v="1750.99"/>
    <n v="1532.53"/>
    <x v="199"/>
    <n v="4369.2000000000044"/>
  </r>
  <r>
    <x v="150"/>
    <x v="200"/>
    <x v="1"/>
    <x v="0"/>
    <x v="9"/>
    <n v="1994.34"/>
    <n v="1394.76"/>
    <x v="200"/>
    <n v="1199.1599999999999"/>
  </r>
  <r>
    <x v="59"/>
    <x v="201"/>
    <x v="1"/>
    <x v="0"/>
    <x v="19"/>
    <n v="1458.53"/>
    <n v="1203.79"/>
    <x v="201"/>
    <n v="2292.66"/>
  </r>
  <r>
    <x v="151"/>
    <x v="202"/>
    <x v="0"/>
    <x v="5"/>
    <x v="14"/>
    <n v="1012"/>
    <n v="729.48"/>
    <x v="202"/>
    <n v="4802.84"/>
  </r>
  <r>
    <x v="152"/>
    <x v="203"/>
    <x v="1"/>
    <x v="4"/>
    <x v="2"/>
    <n v="337.65"/>
    <n v="216.16"/>
    <x v="203"/>
    <n v="2429.8000000000002"/>
  </r>
  <r>
    <x v="153"/>
    <x v="204"/>
    <x v="2"/>
    <x v="3"/>
    <x v="2"/>
    <n v="1970.75"/>
    <n v="1239.83"/>
    <x v="204"/>
    <n v="14618.400000000001"/>
  </r>
  <r>
    <x v="154"/>
    <x v="205"/>
    <x v="1"/>
    <x v="1"/>
    <x v="15"/>
    <n v="687.47"/>
    <n v="456.47"/>
    <x v="205"/>
    <n v="4157.9999999999982"/>
  </r>
  <r>
    <x v="23"/>
    <x v="206"/>
    <x v="2"/>
    <x v="0"/>
    <x v="17"/>
    <n v="1268.23"/>
    <n v="824.88"/>
    <x v="206"/>
    <n v="443.35"/>
  </r>
  <r>
    <x v="66"/>
    <x v="207"/>
    <x v="3"/>
    <x v="3"/>
    <x v="17"/>
    <n v="1462.41"/>
    <n v="1020.75"/>
    <x v="207"/>
    <n v="441.66000000000008"/>
  </r>
  <r>
    <x v="155"/>
    <x v="208"/>
    <x v="3"/>
    <x v="0"/>
    <x v="0"/>
    <n v="384.46"/>
    <n v="312.79000000000002"/>
    <x v="208"/>
    <n v="1146.7199999999993"/>
  </r>
  <r>
    <x v="68"/>
    <x v="209"/>
    <x v="2"/>
    <x v="4"/>
    <x v="10"/>
    <n v="1412.89"/>
    <n v="919.74"/>
    <x v="209"/>
    <n v="5917.7999999999993"/>
  </r>
  <r>
    <x v="156"/>
    <x v="210"/>
    <x v="1"/>
    <x v="3"/>
    <x v="8"/>
    <n v="1116.04"/>
    <n v="877.04"/>
    <x v="210"/>
    <n v="3346"/>
  </r>
  <r>
    <x v="157"/>
    <x v="211"/>
    <x v="0"/>
    <x v="4"/>
    <x v="10"/>
    <n v="1628.96"/>
    <n v="1175.01"/>
    <x v="211"/>
    <n v="5447.4000000000015"/>
  </r>
  <r>
    <x v="158"/>
    <x v="212"/>
    <x v="2"/>
    <x v="2"/>
    <x v="1"/>
    <n v="1163.55"/>
    <n v="958.5"/>
    <x v="212"/>
    <n v="1025.25"/>
  </r>
  <r>
    <x v="17"/>
    <x v="213"/>
    <x v="0"/>
    <x v="5"/>
    <x v="1"/>
    <n v="1269.58"/>
    <n v="1136.83"/>
    <x v="213"/>
    <n v="663.75"/>
  </r>
  <r>
    <x v="159"/>
    <x v="214"/>
    <x v="3"/>
    <x v="5"/>
    <x v="15"/>
    <n v="1145.97"/>
    <n v="1030.94"/>
    <x v="214"/>
    <n v="2070.5399999999972"/>
  </r>
  <r>
    <x v="24"/>
    <x v="215"/>
    <x v="2"/>
    <x v="4"/>
    <x v="5"/>
    <n v="250.1"/>
    <n v="191.8"/>
    <x v="215"/>
    <n v="174.89999999999986"/>
  </r>
  <r>
    <x v="86"/>
    <x v="216"/>
    <x v="1"/>
    <x v="5"/>
    <x v="13"/>
    <n v="467.98"/>
    <n v="418.14"/>
    <x v="216"/>
    <n v="946.96000000000095"/>
  </r>
  <r>
    <x v="160"/>
    <x v="217"/>
    <x v="0"/>
    <x v="3"/>
    <x v="1"/>
    <n v="1822.15"/>
    <n v="1338.48"/>
    <x v="217"/>
    <n v="2418.3500000000004"/>
  </r>
  <r>
    <x v="161"/>
    <x v="218"/>
    <x v="3"/>
    <x v="4"/>
    <x v="9"/>
    <n v="342.78"/>
    <n v="233.74"/>
    <x v="218"/>
    <n v="218.07999999999993"/>
  </r>
  <r>
    <x v="13"/>
    <x v="219"/>
    <x v="3"/>
    <x v="4"/>
    <x v="15"/>
    <n v="1022.57"/>
    <n v="787.68"/>
    <x v="219"/>
    <n v="4228.0199999999986"/>
  </r>
  <r>
    <x v="162"/>
    <x v="220"/>
    <x v="2"/>
    <x v="3"/>
    <x v="1"/>
    <n v="236.59"/>
    <n v="160.93"/>
    <x v="220"/>
    <n v="378.29999999999995"/>
  </r>
  <r>
    <x v="163"/>
    <x v="221"/>
    <x v="0"/>
    <x v="2"/>
    <x v="11"/>
    <n v="777.42"/>
    <n v="592.25"/>
    <x v="221"/>
    <n v="2407.2099999999991"/>
  </r>
  <r>
    <x v="164"/>
    <x v="222"/>
    <x v="3"/>
    <x v="3"/>
    <x v="7"/>
    <n v="994.95"/>
    <n v="788.9"/>
    <x v="222"/>
    <n v="2266.5500000000011"/>
  </r>
  <r>
    <x v="108"/>
    <x v="223"/>
    <x v="1"/>
    <x v="0"/>
    <x v="7"/>
    <n v="642.83000000000004"/>
    <n v="424.37"/>
    <x v="223"/>
    <n v="2403.0600000000004"/>
  </r>
  <r>
    <x v="165"/>
    <x v="224"/>
    <x v="3"/>
    <x v="3"/>
    <x v="10"/>
    <n v="545.27"/>
    <n v="388.76"/>
    <x v="224"/>
    <n v="1878.12"/>
  </r>
  <r>
    <x v="166"/>
    <x v="225"/>
    <x v="2"/>
    <x v="2"/>
    <x v="7"/>
    <n v="1301.99"/>
    <n v="1093.4000000000001"/>
    <x v="225"/>
    <n v="2294.489999999998"/>
  </r>
  <r>
    <x v="167"/>
    <x v="226"/>
    <x v="1"/>
    <x v="2"/>
    <x v="13"/>
    <n v="1724.42"/>
    <n v="1181.8499999999999"/>
    <x v="226"/>
    <n v="10308.830000000002"/>
  </r>
  <r>
    <x v="31"/>
    <x v="227"/>
    <x v="3"/>
    <x v="5"/>
    <x v="8"/>
    <n v="82.93"/>
    <n v="58.1"/>
    <x v="227"/>
    <n v="347.62"/>
  </r>
  <r>
    <x v="91"/>
    <x v="228"/>
    <x v="0"/>
    <x v="2"/>
    <x v="9"/>
    <n v="1961.85"/>
    <n v="1412.58"/>
    <x v="228"/>
    <n v="1098.54"/>
  </r>
  <r>
    <x v="73"/>
    <x v="229"/>
    <x v="2"/>
    <x v="4"/>
    <x v="7"/>
    <n v="452.95"/>
    <n v="336.65"/>
    <x v="229"/>
    <n v="1279.3000000000002"/>
  </r>
  <r>
    <x v="168"/>
    <x v="230"/>
    <x v="0"/>
    <x v="5"/>
    <x v="8"/>
    <n v="1582.64"/>
    <n v="1075.69"/>
    <x v="230"/>
    <n v="7097.2999999999993"/>
  </r>
  <r>
    <x v="50"/>
    <x v="231"/>
    <x v="3"/>
    <x v="5"/>
    <x v="17"/>
    <n v="1905.05"/>
    <n v="1461.87"/>
    <x v="231"/>
    <n v="443.18000000000006"/>
  </r>
  <r>
    <x v="124"/>
    <x v="232"/>
    <x v="0"/>
    <x v="1"/>
    <x v="18"/>
    <n v="509.25"/>
    <n v="416.38"/>
    <x v="232"/>
    <n v="371.48"/>
  </r>
  <r>
    <x v="169"/>
    <x v="233"/>
    <x v="0"/>
    <x v="5"/>
    <x v="15"/>
    <n v="1322.52"/>
    <n v="825.23"/>
    <x v="233"/>
    <n v="8951.2200000000012"/>
  </r>
  <r>
    <x v="85"/>
    <x v="234"/>
    <x v="0"/>
    <x v="4"/>
    <x v="3"/>
    <n v="469.27"/>
    <n v="360.4"/>
    <x v="234"/>
    <n v="762.09000000000015"/>
  </r>
  <r>
    <x v="170"/>
    <x v="235"/>
    <x v="0"/>
    <x v="4"/>
    <x v="15"/>
    <n v="1641.95"/>
    <n v="1170.3800000000001"/>
    <x v="235"/>
    <n v="8488.2599999999948"/>
  </r>
  <r>
    <x v="171"/>
    <x v="236"/>
    <x v="0"/>
    <x v="0"/>
    <x v="19"/>
    <n v="1656.61"/>
    <n v="1453.66"/>
    <x v="236"/>
    <n v="1826.5499999999993"/>
  </r>
  <r>
    <x v="172"/>
    <x v="237"/>
    <x v="0"/>
    <x v="4"/>
    <x v="14"/>
    <n v="1120.1400000000001"/>
    <n v="973.79"/>
    <x v="237"/>
    <n v="2487.9500000000007"/>
  </r>
  <r>
    <x v="173"/>
    <x v="238"/>
    <x v="2"/>
    <x v="2"/>
    <x v="16"/>
    <n v="897.2"/>
    <n v="695.92"/>
    <x v="238"/>
    <n v="2012.8000000000002"/>
  </r>
  <r>
    <x v="174"/>
    <x v="239"/>
    <x v="0"/>
    <x v="5"/>
    <x v="12"/>
    <n v="631.07000000000005"/>
    <n v="555.4"/>
    <x v="239"/>
    <n v="605.36000000000058"/>
  </r>
  <r>
    <x v="175"/>
    <x v="240"/>
    <x v="3"/>
    <x v="2"/>
    <x v="13"/>
    <n v="1468.76"/>
    <n v="1250.72"/>
    <x v="240"/>
    <n v="4142.7599999999984"/>
  </r>
  <r>
    <x v="176"/>
    <x v="241"/>
    <x v="3"/>
    <x v="5"/>
    <x v="19"/>
    <n v="557.38"/>
    <n v="409.86"/>
    <x v="241"/>
    <n v="1327.6799999999998"/>
  </r>
  <r>
    <x v="25"/>
    <x v="242"/>
    <x v="2"/>
    <x v="5"/>
    <x v="12"/>
    <n v="183.4"/>
    <n v="142.21"/>
    <x v="242"/>
    <n v="329.52"/>
  </r>
  <r>
    <x v="59"/>
    <x v="243"/>
    <x v="1"/>
    <x v="2"/>
    <x v="2"/>
    <n v="864.88"/>
    <n v="726.95"/>
    <x v="243"/>
    <n v="2758.5999999999985"/>
  </r>
  <r>
    <x v="177"/>
    <x v="244"/>
    <x v="1"/>
    <x v="5"/>
    <x v="0"/>
    <n v="1679.37"/>
    <n v="1071.54"/>
    <x v="244"/>
    <n v="9725.2799999999988"/>
  </r>
  <r>
    <x v="71"/>
    <x v="245"/>
    <x v="3"/>
    <x v="5"/>
    <x v="7"/>
    <n v="1591.11"/>
    <n v="1158.71"/>
    <x v="245"/>
    <n v="4756.3999999999978"/>
  </r>
  <r>
    <x v="90"/>
    <x v="246"/>
    <x v="1"/>
    <x v="3"/>
    <x v="7"/>
    <n v="299.26"/>
    <n v="222.99"/>
    <x v="246"/>
    <n v="838.9699999999998"/>
  </r>
  <r>
    <x v="100"/>
    <x v="247"/>
    <x v="1"/>
    <x v="5"/>
    <x v="6"/>
    <n v="1642.32"/>
    <n v="1340"/>
    <x v="247"/>
    <n v="1813.92"/>
  </r>
  <r>
    <x v="178"/>
    <x v="248"/>
    <x v="1"/>
    <x v="4"/>
    <x v="8"/>
    <n v="780.32"/>
    <n v="573.14"/>
    <x v="248"/>
    <n v="2900.5199999999995"/>
  </r>
  <r>
    <x v="176"/>
    <x v="249"/>
    <x v="2"/>
    <x v="0"/>
    <x v="9"/>
    <n v="1261.29"/>
    <n v="1099.04"/>
    <x v="249"/>
    <n v="324.5"/>
  </r>
  <r>
    <x v="179"/>
    <x v="250"/>
    <x v="1"/>
    <x v="0"/>
    <x v="5"/>
    <n v="1217.8399999999999"/>
    <n v="994"/>
    <x v="250"/>
    <n v="671.52"/>
  </r>
  <r>
    <x v="125"/>
    <x v="251"/>
    <x v="1"/>
    <x v="4"/>
    <x v="15"/>
    <n v="1693.66"/>
    <n v="1112.79"/>
    <x v="251"/>
    <n v="10455.66"/>
  </r>
  <r>
    <x v="180"/>
    <x v="252"/>
    <x v="1"/>
    <x v="0"/>
    <x v="19"/>
    <n v="1278.19"/>
    <n v="1047.5"/>
    <x v="252"/>
    <n v="2076.2099999999991"/>
  </r>
  <r>
    <x v="124"/>
    <x v="253"/>
    <x v="3"/>
    <x v="4"/>
    <x v="10"/>
    <n v="769.98"/>
    <n v="487.44"/>
    <x v="253"/>
    <n v="3390.4800000000005"/>
  </r>
  <r>
    <x v="181"/>
    <x v="254"/>
    <x v="0"/>
    <x v="0"/>
    <x v="18"/>
    <n v="1529.89"/>
    <n v="1124.3800000000001"/>
    <x v="254"/>
    <n v="1622.04"/>
  </r>
  <r>
    <x v="39"/>
    <x v="255"/>
    <x v="0"/>
    <x v="5"/>
    <x v="19"/>
    <n v="630.89"/>
    <n v="472.38"/>
    <x v="255"/>
    <n v="1426.5900000000001"/>
  </r>
  <r>
    <x v="182"/>
    <x v="256"/>
    <x v="1"/>
    <x v="3"/>
    <x v="9"/>
    <n v="449.16"/>
    <n v="277.92"/>
    <x v="256"/>
    <n v="342.48"/>
  </r>
  <r>
    <x v="183"/>
    <x v="257"/>
    <x v="1"/>
    <x v="1"/>
    <x v="13"/>
    <n v="1795.37"/>
    <n v="1162.02"/>
    <x v="257"/>
    <n v="12033.649999999998"/>
  </r>
  <r>
    <x v="73"/>
    <x v="258"/>
    <x v="1"/>
    <x v="0"/>
    <x v="1"/>
    <n v="1565.87"/>
    <n v="1032.5999999999999"/>
    <x v="258"/>
    <n v="2666.3500000000004"/>
  </r>
  <r>
    <x v="184"/>
    <x v="259"/>
    <x v="0"/>
    <x v="3"/>
    <x v="13"/>
    <n v="254.9"/>
    <n v="162.41"/>
    <x v="259"/>
    <n v="1757.3100000000004"/>
  </r>
  <r>
    <x v="91"/>
    <x v="260"/>
    <x v="2"/>
    <x v="2"/>
    <x v="14"/>
    <n v="86.42"/>
    <n v="67.23"/>
    <x v="260"/>
    <n v="326.23"/>
  </r>
  <r>
    <x v="38"/>
    <x v="261"/>
    <x v="2"/>
    <x v="4"/>
    <x v="7"/>
    <n v="205.47"/>
    <n v="156.65"/>
    <x v="261"/>
    <n v="537.02"/>
  </r>
  <r>
    <x v="185"/>
    <x v="262"/>
    <x v="2"/>
    <x v="1"/>
    <x v="8"/>
    <n v="952.22"/>
    <n v="619.21"/>
    <x v="262"/>
    <n v="4662.1399999999994"/>
  </r>
  <r>
    <x v="133"/>
    <x v="263"/>
    <x v="3"/>
    <x v="0"/>
    <x v="0"/>
    <n v="1280.1500000000001"/>
    <n v="914.65"/>
    <x v="263"/>
    <n v="5848.0000000000018"/>
  </r>
  <r>
    <x v="186"/>
    <x v="264"/>
    <x v="1"/>
    <x v="0"/>
    <x v="1"/>
    <n v="1506.61"/>
    <n v="1296.78"/>
    <x v="264"/>
    <n v="1049.1500000000005"/>
  </r>
  <r>
    <x v="187"/>
    <x v="265"/>
    <x v="3"/>
    <x v="5"/>
    <x v="16"/>
    <n v="340.89"/>
    <n v="252.61"/>
    <x v="265"/>
    <n v="882.79999999999973"/>
  </r>
  <r>
    <x v="188"/>
    <x v="266"/>
    <x v="3"/>
    <x v="1"/>
    <x v="8"/>
    <n v="972.94"/>
    <n v="787.78"/>
    <x v="266"/>
    <n v="2592.2399999999998"/>
  </r>
  <r>
    <x v="189"/>
    <x v="267"/>
    <x v="1"/>
    <x v="4"/>
    <x v="8"/>
    <n v="1087.96"/>
    <n v="933.68"/>
    <x v="267"/>
    <n v="2159.9200000000019"/>
  </r>
  <r>
    <x v="97"/>
    <x v="268"/>
    <x v="3"/>
    <x v="4"/>
    <x v="15"/>
    <n v="1485.71"/>
    <n v="1208.6400000000001"/>
    <x v="268"/>
    <n v="4987.2599999999984"/>
  </r>
  <r>
    <x v="190"/>
    <x v="269"/>
    <x v="0"/>
    <x v="2"/>
    <x v="17"/>
    <n v="693.68"/>
    <n v="515.33000000000004"/>
    <x v="269"/>
    <n v="178.34999999999991"/>
  </r>
  <r>
    <x v="37"/>
    <x v="270"/>
    <x v="2"/>
    <x v="4"/>
    <x v="17"/>
    <n v="83.78"/>
    <n v="50.46"/>
    <x v="270"/>
    <n v="33.32"/>
  </r>
  <r>
    <x v="164"/>
    <x v="271"/>
    <x v="1"/>
    <x v="0"/>
    <x v="12"/>
    <n v="1248.57"/>
    <n v="893.94"/>
    <x v="271"/>
    <n v="2837.0399999999991"/>
  </r>
  <r>
    <x v="112"/>
    <x v="272"/>
    <x v="2"/>
    <x v="5"/>
    <x v="8"/>
    <n v="640.23"/>
    <n v="456.18"/>
    <x v="272"/>
    <n v="2576.6999999999989"/>
  </r>
  <r>
    <x v="191"/>
    <x v="273"/>
    <x v="0"/>
    <x v="0"/>
    <x v="1"/>
    <n v="888.41"/>
    <n v="706.65"/>
    <x v="273"/>
    <n v="908.80000000000018"/>
  </r>
  <r>
    <x v="161"/>
    <x v="274"/>
    <x v="1"/>
    <x v="4"/>
    <x v="0"/>
    <n v="133.15"/>
    <n v="92.15"/>
    <x v="274"/>
    <n v="656"/>
  </r>
  <r>
    <x v="90"/>
    <x v="275"/>
    <x v="3"/>
    <x v="3"/>
    <x v="3"/>
    <n v="167.92"/>
    <n v="112.89"/>
    <x v="275"/>
    <n v="385.21000000000004"/>
  </r>
  <r>
    <x v="10"/>
    <x v="276"/>
    <x v="3"/>
    <x v="5"/>
    <x v="7"/>
    <n v="711.94"/>
    <n v="479.56"/>
    <x v="276"/>
    <n v="2556.1800000000003"/>
  </r>
  <r>
    <x v="192"/>
    <x v="277"/>
    <x v="3"/>
    <x v="4"/>
    <x v="4"/>
    <n v="767.1"/>
    <n v="534.07000000000005"/>
    <x v="277"/>
    <n v="3495.4499999999989"/>
  </r>
  <r>
    <x v="193"/>
    <x v="278"/>
    <x v="1"/>
    <x v="4"/>
    <x v="17"/>
    <n v="360.38"/>
    <n v="245.9"/>
    <x v="278"/>
    <n v="114.47999999999999"/>
  </r>
  <r>
    <x v="194"/>
    <x v="279"/>
    <x v="1"/>
    <x v="5"/>
    <x v="15"/>
    <n v="1769.44"/>
    <n v="1141.83"/>
    <x v="279"/>
    <n v="11296.98"/>
  </r>
  <r>
    <x v="195"/>
    <x v="280"/>
    <x v="3"/>
    <x v="3"/>
    <x v="10"/>
    <n v="535.96"/>
    <n v="441.85"/>
    <x v="280"/>
    <n v="1129.3199999999997"/>
  </r>
  <r>
    <x v="138"/>
    <x v="281"/>
    <x v="3"/>
    <x v="2"/>
    <x v="10"/>
    <n v="1804.69"/>
    <n v="1616.32"/>
    <x v="281"/>
    <n v="2260.4399999999987"/>
  </r>
  <r>
    <x v="21"/>
    <x v="282"/>
    <x v="2"/>
    <x v="1"/>
    <x v="4"/>
    <n v="1882.05"/>
    <n v="1230.22"/>
    <x v="282"/>
    <n v="9777.4500000000007"/>
  </r>
  <r>
    <x v="196"/>
    <x v="283"/>
    <x v="3"/>
    <x v="5"/>
    <x v="8"/>
    <n v="1050.3399999999999"/>
    <n v="713.24"/>
    <x v="283"/>
    <n v="4719.3999999999996"/>
  </r>
  <r>
    <x v="197"/>
    <x v="284"/>
    <x v="1"/>
    <x v="0"/>
    <x v="15"/>
    <n v="1622.66"/>
    <n v="1116.56"/>
    <x v="284"/>
    <n v="9109.8000000000029"/>
  </r>
  <r>
    <x v="80"/>
    <x v="285"/>
    <x v="3"/>
    <x v="1"/>
    <x v="14"/>
    <n v="1197.45"/>
    <n v="889.5"/>
    <x v="285"/>
    <n v="5235.1500000000015"/>
  </r>
  <r>
    <x v="88"/>
    <x v="286"/>
    <x v="1"/>
    <x v="0"/>
    <x v="5"/>
    <n v="462.11"/>
    <n v="411.13"/>
    <x v="286"/>
    <n v="152.94000000000005"/>
  </r>
  <r>
    <x v="118"/>
    <x v="287"/>
    <x v="0"/>
    <x v="5"/>
    <x v="8"/>
    <n v="704.21"/>
    <n v="460.61"/>
    <x v="287"/>
    <n v="3410.4000000000005"/>
  </r>
  <r>
    <x v="59"/>
    <x v="288"/>
    <x v="2"/>
    <x v="1"/>
    <x v="19"/>
    <n v="1344.77"/>
    <n v="963.88"/>
    <x v="288"/>
    <n v="3428.01"/>
  </r>
  <r>
    <x v="102"/>
    <x v="289"/>
    <x v="3"/>
    <x v="1"/>
    <x v="2"/>
    <n v="1352.16"/>
    <n v="1157.3800000000001"/>
    <x v="289"/>
    <n v="3895.5999999999985"/>
  </r>
  <r>
    <x v="198"/>
    <x v="290"/>
    <x v="2"/>
    <x v="3"/>
    <x v="11"/>
    <n v="667.27"/>
    <n v="480.57"/>
    <x v="290"/>
    <n v="2427.1000000000004"/>
  </r>
  <r>
    <x v="99"/>
    <x v="291"/>
    <x v="2"/>
    <x v="3"/>
    <x v="6"/>
    <n v="444.15"/>
    <n v="281.61"/>
    <x v="291"/>
    <n v="975.24"/>
  </r>
  <r>
    <x v="196"/>
    <x v="292"/>
    <x v="0"/>
    <x v="5"/>
    <x v="6"/>
    <n v="555.96"/>
    <n v="493.73"/>
    <x v="292"/>
    <n v="373.38000000000011"/>
  </r>
  <r>
    <x v="33"/>
    <x v="293"/>
    <x v="1"/>
    <x v="2"/>
    <x v="2"/>
    <n v="1465.66"/>
    <n v="956.89"/>
    <x v="293"/>
    <n v="10175.400000000001"/>
  </r>
  <r>
    <x v="134"/>
    <x v="294"/>
    <x v="1"/>
    <x v="3"/>
    <x v="15"/>
    <n v="317.45999999999998"/>
    <n v="199.54"/>
    <x v="294"/>
    <n v="2122.56"/>
  </r>
  <r>
    <x v="199"/>
    <x v="295"/>
    <x v="0"/>
    <x v="3"/>
    <x v="18"/>
    <n v="1544.24"/>
    <n v="1386.5"/>
    <x v="295"/>
    <n v="630.96"/>
  </r>
  <r>
    <x v="200"/>
    <x v="296"/>
    <x v="3"/>
    <x v="2"/>
    <x v="18"/>
    <n v="871.02"/>
    <n v="639.97"/>
    <x v="296"/>
    <n v="924.19999999999982"/>
  </r>
  <r>
    <x v="201"/>
    <x v="297"/>
    <x v="2"/>
    <x v="0"/>
    <x v="8"/>
    <n v="1230.8800000000001"/>
    <n v="741.47"/>
    <x v="297"/>
    <n v="6851.74"/>
  </r>
  <r>
    <x v="34"/>
    <x v="298"/>
    <x v="3"/>
    <x v="3"/>
    <x v="13"/>
    <n v="1764.92"/>
    <n v="1581.43"/>
    <x v="298"/>
    <n v="3486.3100000000013"/>
  </r>
  <r>
    <x v="202"/>
    <x v="299"/>
    <x v="1"/>
    <x v="3"/>
    <x v="0"/>
    <n v="1029.68"/>
    <n v="811.3"/>
    <x v="299"/>
    <n v="3494.0800000000017"/>
  </r>
  <r>
    <x v="203"/>
    <x v="300"/>
    <x v="1"/>
    <x v="3"/>
    <x v="16"/>
    <n v="1091.6400000000001"/>
    <n v="918.94"/>
    <x v="300"/>
    <n v="1726.9999999999982"/>
  </r>
  <r>
    <x v="175"/>
    <x v="301"/>
    <x v="0"/>
    <x v="4"/>
    <x v="6"/>
    <n v="449.79"/>
    <n v="394.96"/>
    <x v="301"/>
    <n v="328.98"/>
  </r>
  <r>
    <x v="94"/>
    <x v="302"/>
    <x v="2"/>
    <x v="3"/>
    <x v="0"/>
    <n v="690.09"/>
    <n v="469.76"/>
    <x v="302"/>
    <n v="3525.2800000000007"/>
  </r>
  <r>
    <x v="204"/>
    <x v="303"/>
    <x v="2"/>
    <x v="2"/>
    <x v="16"/>
    <n v="1204.1400000000001"/>
    <n v="831.78"/>
    <x v="303"/>
    <n v="3723.6000000000004"/>
  </r>
  <r>
    <x v="205"/>
    <x v="304"/>
    <x v="1"/>
    <x v="4"/>
    <x v="7"/>
    <n v="1467.63"/>
    <n v="1050.69"/>
    <x v="304"/>
    <n v="4586.34"/>
  </r>
  <r>
    <x v="206"/>
    <x v="305"/>
    <x v="1"/>
    <x v="1"/>
    <x v="11"/>
    <n v="1533.53"/>
    <n v="1018.22"/>
    <x v="305"/>
    <n v="6699.0299999999988"/>
  </r>
  <r>
    <x v="62"/>
    <x v="306"/>
    <x v="0"/>
    <x v="4"/>
    <x v="0"/>
    <n v="1253.6300000000001"/>
    <n v="1004.41"/>
    <x v="306"/>
    <n v="3987.5200000000023"/>
  </r>
  <r>
    <x v="81"/>
    <x v="307"/>
    <x v="1"/>
    <x v="5"/>
    <x v="3"/>
    <n v="409.64"/>
    <n v="293.74"/>
    <x v="307"/>
    <n v="811.29999999999973"/>
  </r>
  <r>
    <x v="81"/>
    <x v="308"/>
    <x v="0"/>
    <x v="4"/>
    <x v="6"/>
    <n v="1766.5"/>
    <n v="1509.4"/>
    <x v="308"/>
    <n v="1542.5999999999985"/>
  </r>
  <r>
    <x v="74"/>
    <x v="309"/>
    <x v="1"/>
    <x v="4"/>
    <x v="7"/>
    <n v="1479.63"/>
    <n v="979.2"/>
    <x v="309"/>
    <n v="5504.73"/>
  </r>
  <r>
    <x v="175"/>
    <x v="310"/>
    <x v="3"/>
    <x v="3"/>
    <x v="5"/>
    <n v="723.25"/>
    <n v="599.03"/>
    <x v="310"/>
    <n v="372.66000000000008"/>
  </r>
  <r>
    <x v="35"/>
    <x v="311"/>
    <x v="3"/>
    <x v="0"/>
    <x v="10"/>
    <n v="1946.99"/>
    <n v="1222.99"/>
    <x v="311"/>
    <n v="8688"/>
  </r>
  <r>
    <x v="155"/>
    <x v="312"/>
    <x v="1"/>
    <x v="5"/>
    <x v="19"/>
    <n v="136.93"/>
    <n v="97.62"/>
    <x v="312"/>
    <n v="353.78999999999985"/>
  </r>
  <r>
    <x v="148"/>
    <x v="313"/>
    <x v="3"/>
    <x v="3"/>
    <x v="11"/>
    <n v="457.2"/>
    <n v="368.84"/>
    <x v="313"/>
    <n v="1148.6800000000003"/>
  </r>
  <r>
    <x v="63"/>
    <x v="314"/>
    <x v="3"/>
    <x v="4"/>
    <x v="3"/>
    <n v="1177.3499999999999"/>
    <n v="1012.88"/>
    <x v="314"/>
    <n v="1151.2900000000009"/>
  </r>
  <r>
    <x v="188"/>
    <x v="315"/>
    <x v="1"/>
    <x v="0"/>
    <x v="13"/>
    <n v="710.91"/>
    <n v="478.17"/>
    <x v="315"/>
    <n v="4422.0600000000013"/>
  </r>
  <r>
    <x v="207"/>
    <x v="316"/>
    <x v="0"/>
    <x v="4"/>
    <x v="12"/>
    <n v="80.13"/>
    <n v="55.48"/>
    <x v="316"/>
    <n v="197.2"/>
  </r>
  <r>
    <x v="208"/>
    <x v="317"/>
    <x v="3"/>
    <x v="2"/>
    <x v="6"/>
    <n v="138.46"/>
    <n v="117.32"/>
    <x v="317"/>
    <n v="126.84000000000003"/>
  </r>
  <r>
    <x v="85"/>
    <x v="318"/>
    <x v="3"/>
    <x v="4"/>
    <x v="14"/>
    <n v="433.43"/>
    <n v="286.56"/>
    <x v="318"/>
    <n v="2496.79"/>
  </r>
  <r>
    <x v="209"/>
    <x v="319"/>
    <x v="2"/>
    <x v="3"/>
    <x v="19"/>
    <n v="1040.23"/>
    <n v="835.3"/>
    <x v="319"/>
    <n v="1844.37"/>
  </r>
  <r>
    <x v="210"/>
    <x v="320"/>
    <x v="0"/>
    <x v="0"/>
    <x v="13"/>
    <n v="937.51"/>
    <n v="724.77"/>
    <x v="320"/>
    <n v="4042.0599999999995"/>
  </r>
  <r>
    <x v="211"/>
    <x v="321"/>
    <x v="2"/>
    <x v="1"/>
    <x v="14"/>
    <n v="1575.75"/>
    <n v="1258.27"/>
    <x v="321"/>
    <n v="5397.16"/>
  </r>
  <r>
    <x v="212"/>
    <x v="322"/>
    <x v="0"/>
    <x v="4"/>
    <x v="4"/>
    <n v="823.31"/>
    <n v="660.18"/>
    <x v="322"/>
    <n v="2446.9500000000007"/>
  </r>
  <r>
    <x v="132"/>
    <x v="323"/>
    <x v="0"/>
    <x v="2"/>
    <x v="18"/>
    <n v="293.49"/>
    <n v="224.03"/>
    <x v="323"/>
    <n v="277.84000000000003"/>
  </r>
  <r>
    <x v="213"/>
    <x v="324"/>
    <x v="3"/>
    <x v="4"/>
    <x v="7"/>
    <n v="1008.93"/>
    <n v="708.02"/>
    <x v="324"/>
    <n v="3310.01"/>
  </r>
  <r>
    <x v="214"/>
    <x v="325"/>
    <x v="1"/>
    <x v="4"/>
    <x v="7"/>
    <n v="1637.72"/>
    <n v="1435.95"/>
    <x v="325"/>
    <n v="2219.4699999999975"/>
  </r>
  <r>
    <x v="215"/>
    <x v="326"/>
    <x v="3"/>
    <x v="4"/>
    <x v="4"/>
    <n v="1785.87"/>
    <n v="1371.78"/>
    <x v="326"/>
    <n v="6211.3499999999985"/>
  </r>
  <r>
    <x v="16"/>
    <x v="327"/>
    <x v="2"/>
    <x v="2"/>
    <x v="1"/>
    <n v="1636.06"/>
    <n v="1106.3699999999999"/>
    <x v="327"/>
    <n v="2648.4500000000007"/>
  </r>
  <r>
    <x v="214"/>
    <x v="328"/>
    <x v="0"/>
    <x v="4"/>
    <x v="9"/>
    <n v="1883.46"/>
    <n v="1461.27"/>
    <x v="328"/>
    <n v="844.38000000000011"/>
  </r>
  <r>
    <x v="216"/>
    <x v="329"/>
    <x v="0"/>
    <x v="3"/>
    <x v="14"/>
    <n v="1030.57"/>
    <n v="626.4"/>
    <x v="329"/>
    <n v="6870.8899999999994"/>
  </r>
  <r>
    <x v="217"/>
    <x v="330"/>
    <x v="3"/>
    <x v="1"/>
    <x v="6"/>
    <n v="954.33"/>
    <n v="595.33000000000004"/>
    <x v="330"/>
    <n v="2153.9999999999991"/>
  </r>
  <r>
    <x v="218"/>
    <x v="331"/>
    <x v="2"/>
    <x v="1"/>
    <x v="6"/>
    <n v="69.75"/>
    <n v="58.23"/>
    <x v="331"/>
    <n v="69.12"/>
  </r>
  <r>
    <x v="18"/>
    <x v="332"/>
    <x v="0"/>
    <x v="3"/>
    <x v="15"/>
    <n v="1940.07"/>
    <n v="1645.69"/>
    <x v="332"/>
    <n v="5298.84"/>
  </r>
  <r>
    <x v="159"/>
    <x v="333"/>
    <x v="2"/>
    <x v="0"/>
    <x v="14"/>
    <n v="1988.57"/>
    <n v="1469.83"/>
    <x v="333"/>
    <n v="8818.5800000000017"/>
  </r>
  <r>
    <x v="26"/>
    <x v="334"/>
    <x v="2"/>
    <x v="3"/>
    <x v="14"/>
    <n v="1533.19"/>
    <n v="964.7"/>
    <x v="334"/>
    <n v="9664.3299999999981"/>
  </r>
  <r>
    <x v="200"/>
    <x v="335"/>
    <x v="0"/>
    <x v="1"/>
    <x v="4"/>
    <n v="1133.8499999999999"/>
    <n v="864.72"/>
    <x v="335"/>
    <n v="4036.9499999999989"/>
  </r>
  <r>
    <x v="68"/>
    <x v="336"/>
    <x v="0"/>
    <x v="1"/>
    <x v="15"/>
    <n v="1405.76"/>
    <n v="1156.21"/>
    <x v="336"/>
    <n v="4491.9000000000015"/>
  </r>
  <r>
    <x v="219"/>
    <x v="337"/>
    <x v="0"/>
    <x v="3"/>
    <x v="17"/>
    <n v="129.15"/>
    <n v="81.260000000000005"/>
    <x v="337"/>
    <n v="47.89"/>
  </r>
  <r>
    <x v="220"/>
    <x v="338"/>
    <x v="3"/>
    <x v="5"/>
    <x v="10"/>
    <n v="91.53"/>
    <n v="70.06"/>
    <x v="338"/>
    <n v="257.63999999999987"/>
  </r>
  <r>
    <x v="198"/>
    <x v="339"/>
    <x v="0"/>
    <x v="2"/>
    <x v="14"/>
    <n v="1135.81"/>
    <n v="967.63"/>
    <x v="339"/>
    <n v="2859.0600000000013"/>
  </r>
  <r>
    <x v="221"/>
    <x v="340"/>
    <x v="2"/>
    <x v="3"/>
    <x v="17"/>
    <n v="624.89"/>
    <n v="536.97"/>
    <x v="340"/>
    <n v="87.919999999999959"/>
  </r>
  <r>
    <x v="142"/>
    <x v="341"/>
    <x v="2"/>
    <x v="0"/>
    <x v="12"/>
    <n v="1064.3399999999999"/>
    <n v="714.39"/>
    <x v="341"/>
    <n v="2799.5999999999995"/>
  </r>
  <r>
    <x v="128"/>
    <x v="342"/>
    <x v="3"/>
    <x v="5"/>
    <x v="15"/>
    <n v="606.75"/>
    <n v="491.25"/>
    <x v="342"/>
    <n v="2079"/>
  </r>
  <r>
    <x v="222"/>
    <x v="343"/>
    <x v="0"/>
    <x v="5"/>
    <x v="3"/>
    <n v="1042.05"/>
    <n v="815.81"/>
    <x v="343"/>
    <n v="1583.6800000000003"/>
  </r>
  <r>
    <x v="173"/>
    <x v="344"/>
    <x v="0"/>
    <x v="1"/>
    <x v="0"/>
    <n v="1044.18"/>
    <n v="778.21"/>
    <x v="344"/>
    <n v="4255.5200000000004"/>
  </r>
  <r>
    <x v="223"/>
    <x v="345"/>
    <x v="3"/>
    <x v="3"/>
    <x v="15"/>
    <n v="207"/>
    <n v="174.2"/>
    <x v="345"/>
    <n v="590.40000000000009"/>
  </r>
  <r>
    <x v="224"/>
    <x v="346"/>
    <x v="0"/>
    <x v="0"/>
    <x v="19"/>
    <n v="957.5"/>
    <n v="800.6"/>
    <x v="346"/>
    <n v="1412.0999999999995"/>
  </r>
  <r>
    <x v="26"/>
    <x v="347"/>
    <x v="0"/>
    <x v="5"/>
    <x v="3"/>
    <n v="1383.61"/>
    <n v="1089.44"/>
    <x v="347"/>
    <n v="2059.1900000000005"/>
  </r>
  <r>
    <x v="186"/>
    <x v="348"/>
    <x v="3"/>
    <x v="4"/>
    <x v="9"/>
    <n v="756.96"/>
    <n v="609.91"/>
    <x v="348"/>
    <n v="294.10000000000014"/>
  </r>
  <r>
    <x v="225"/>
    <x v="349"/>
    <x v="1"/>
    <x v="5"/>
    <x v="15"/>
    <n v="1660.02"/>
    <n v="1040.3599999999999"/>
    <x v="349"/>
    <n v="11153.880000000001"/>
  </r>
  <r>
    <x v="6"/>
    <x v="350"/>
    <x v="0"/>
    <x v="1"/>
    <x v="2"/>
    <n v="353.37"/>
    <n v="288.83"/>
    <x v="350"/>
    <n v="1290.8000000000002"/>
  </r>
  <r>
    <x v="42"/>
    <x v="351"/>
    <x v="1"/>
    <x v="0"/>
    <x v="10"/>
    <n v="1378.99"/>
    <n v="1178.8800000000001"/>
    <x v="351"/>
    <n v="2401.3199999999997"/>
  </r>
  <r>
    <x v="182"/>
    <x v="352"/>
    <x v="2"/>
    <x v="4"/>
    <x v="7"/>
    <n v="1550.47"/>
    <n v="1282.58"/>
    <x v="352"/>
    <n v="2946.7899999999991"/>
  </r>
  <r>
    <x v="99"/>
    <x v="353"/>
    <x v="0"/>
    <x v="2"/>
    <x v="12"/>
    <n v="1678.52"/>
    <n v="1184.19"/>
    <x v="353"/>
    <n v="3954.6399999999994"/>
  </r>
  <r>
    <x v="226"/>
    <x v="354"/>
    <x v="1"/>
    <x v="3"/>
    <x v="13"/>
    <n v="1959.93"/>
    <n v="1522.72"/>
    <x v="354"/>
    <n v="8306.989999999998"/>
  </r>
  <r>
    <x v="140"/>
    <x v="355"/>
    <x v="0"/>
    <x v="5"/>
    <x v="9"/>
    <n v="383.6"/>
    <n v="333.02"/>
    <x v="355"/>
    <n v="101.16000000000008"/>
  </r>
  <r>
    <x v="81"/>
    <x v="356"/>
    <x v="3"/>
    <x v="1"/>
    <x v="5"/>
    <n v="1995.85"/>
    <n v="1659.8"/>
    <x v="356"/>
    <n v="1008.1500000000005"/>
  </r>
  <r>
    <x v="227"/>
    <x v="357"/>
    <x v="0"/>
    <x v="1"/>
    <x v="14"/>
    <n v="1612.16"/>
    <n v="1369.21"/>
    <x v="357"/>
    <n v="4130.1500000000015"/>
  </r>
  <r>
    <x v="110"/>
    <x v="358"/>
    <x v="3"/>
    <x v="4"/>
    <x v="14"/>
    <n v="611.95000000000005"/>
    <n v="497.15"/>
    <x v="358"/>
    <n v="1951.6000000000004"/>
  </r>
  <r>
    <x v="18"/>
    <x v="359"/>
    <x v="3"/>
    <x v="4"/>
    <x v="9"/>
    <n v="1462.02"/>
    <n v="1309.21"/>
    <x v="359"/>
    <n v="305.61999999999989"/>
  </r>
  <r>
    <x v="228"/>
    <x v="360"/>
    <x v="2"/>
    <x v="3"/>
    <x v="13"/>
    <n v="639.69000000000005"/>
    <n v="450.98"/>
    <x v="360"/>
    <n v="3585.49"/>
  </r>
  <r>
    <x v="129"/>
    <x v="361"/>
    <x v="0"/>
    <x v="2"/>
    <x v="4"/>
    <n v="1298.79"/>
    <n v="802.38"/>
    <x v="361"/>
    <n v="7446.1499999999978"/>
  </r>
  <r>
    <x v="229"/>
    <x v="362"/>
    <x v="0"/>
    <x v="5"/>
    <x v="16"/>
    <n v="347.69"/>
    <n v="250.23"/>
    <x v="362"/>
    <n v="974.60000000000036"/>
  </r>
  <r>
    <x v="230"/>
    <x v="363"/>
    <x v="1"/>
    <x v="2"/>
    <x v="19"/>
    <n v="481.62"/>
    <n v="301.35000000000002"/>
    <x v="363"/>
    <n v="1622.4299999999998"/>
  </r>
  <r>
    <x v="231"/>
    <x v="364"/>
    <x v="3"/>
    <x v="4"/>
    <x v="2"/>
    <n v="393.83"/>
    <n v="334.81"/>
    <x v="364"/>
    <n v="1180.4000000000005"/>
  </r>
  <r>
    <x v="232"/>
    <x v="365"/>
    <x v="3"/>
    <x v="5"/>
    <x v="11"/>
    <n v="1705.89"/>
    <n v="1303.5"/>
    <x v="365"/>
    <n v="5231.07"/>
  </r>
  <r>
    <x v="233"/>
    <x v="366"/>
    <x v="1"/>
    <x v="1"/>
    <x v="2"/>
    <n v="1209.74"/>
    <n v="813.7"/>
    <x v="366"/>
    <n v="7920.7999999999993"/>
  </r>
  <r>
    <x v="234"/>
    <x v="367"/>
    <x v="2"/>
    <x v="4"/>
    <x v="15"/>
    <n v="1402.54"/>
    <n v="927.73"/>
    <x v="367"/>
    <n v="8546.5800000000017"/>
  </r>
  <r>
    <x v="234"/>
    <x v="368"/>
    <x v="2"/>
    <x v="3"/>
    <x v="13"/>
    <n v="1697.52"/>
    <n v="1457.22"/>
    <x v="368"/>
    <n v="4565.7000000000007"/>
  </r>
  <r>
    <x v="235"/>
    <x v="369"/>
    <x v="0"/>
    <x v="4"/>
    <x v="19"/>
    <n v="697.85"/>
    <n v="537.94000000000005"/>
    <x v="369"/>
    <n v="1439.1899999999987"/>
  </r>
  <r>
    <x v="54"/>
    <x v="370"/>
    <x v="1"/>
    <x v="5"/>
    <x v="3"/>
    <n v="879.8"/>
    <n v="652.69000000000005"/>
    <x v="370"/>
    <n v="1589.7700000000004"/>
  </r>
  <r>
    <x v="236"/>
    <x v="371"/>
    <x v="0"/>
    <x v="4"/>
    <x v="16"/>
    <n v="1254.8699999999999"/>
    <n v="966.01"/>
    <x v="371"/>
    <n v="2888.6000000000004"/>
  </r>
  <r>
    <x v="162"/>
    <x v="372"/>
    <x v="1"/>
    <x v="2"/>
    <x v="3"/>
    <n v="1063.18"/>
    <n v="914.1"/>
    <x v="372"/>
    <n v="1043.5600000000004"/>
  </r>
  <r>
    <x v="201"/>
    <x v="373"/>
    <x v="0"/>
    <x v="4"/>
    <x v="7"/>
    <n v="1413.16"/>
    <n v="985.54"/>
    <x v="373"/>
    <n v="4703.8200000000015"/>
  </r>
  <r>
    <x v="237"/>
    <x v="374"/>
    <x v="1"/>
    <x v="4"/>
    <x v="14"/>
    <n v="837.94"/>
    <n v="725.4"/>
    <x v="374"/>
    <n v="1913.1800000000003"/>
  </r>
  <r>
    <x v="75"/>
    <x v="375"/>
    <x v="2"/>
    <x v="3"/>
    <x v="19"/>
    <n v="643.29"/>
    <n v="414"/>
    <x v="375"/>
    <n v="2063.6099999999997"/>
  </r>
  <r>
    <x v="160"/>
    <x v="376"/>
    <x v="3"/>
    <x v="1"/>
    <x v="2"/>
    <n v="1445.3"/>
    <n v="994.16"/>
    <x v="376"/>
    <n v="9022.7999999999993"/>
  </r>
  <r>
    <x v="65"/>
    <x v="377"/>
    <x v="3"/>
    <x v="2"/>
    <x v="18"/>
    <n v="569.62"/>
    <n v="428.92"/>
    <x v="377"/>
    <n v="562.79999999999995"/>
  </r>
  <r>
    <x v="238"/>
    <x v="378"/>
    <x v="1"/>
    <x v="0"/>
    <x v="12"/>
    <n v="307.45"/>
    <n v="217.75"/>
    <x v="378"/>
    <n v="717.59999999999991"/>
  </r>
  <r>
    <x v="28"/>
    <x v="379"/>
    <x v="2"/>
    <x v="0"/>
    <x v="16"/>
    <n v="1875.03"/>
    <n v="1259.28"/>
    <x v="379"/>
    <n v="6157.5"/>
  </r>
  <r>
    <x v="15"/>
    <x v="380"/>
    <x v="3"/>
    <x v="3"/>
    <x v="2"/>
    <n v="352.59"/>
    <n v="248.06"/>
    <x v="380"/>
    <n v="2090.6000000000004"/>
  </r>
  <r>
    <x v="239"/>
    <x v="381"/>
    <x v="1"/>
    <x v="4"/>
    <x v="14"/>
    <n v="1263.1600000000001"/>
    <n v="915.43"/>
    <x v="381"/>
    <n v="5911.4100000000017"/>
  </r>
  <r>
    <x v="71"/>
    <x v="382"/>
    <x v="1"/>
    <x v="3"/>
    <x v="3"/>
    <n v="364.27"/>
    <n v="253.19"/>
    <x v="382"/>
    <n v="777.56"/>
  </r>
  <r>
    <x v="240"/>
    <x v="383"/>
    <x v="3"/>
    <x v="2"/>
    <x v="11"/>
    <n v="626.24"/>
    <n v="453.28"/>
    <x v="383"/>
    <n v="2248.4800000000005"/>
  </r>
  <r>
    <x v="9"/>
    <x v="384"/>
    <x v="2"/>
    <x v="3"/>
    <x v="18"/>
    <n v="1271"/>
    <n v="912.5"/>
    <x v="384"/>
    <n v="1434"/>
  </r>
  <r>
    <x v="59"/>
    <x v="385"/>
    <x v="1"/>
    <x v="3"/>
    <x v="16"/>
    <n v="1721.79"/>
    <n v="1317.56"/>
    <x v="385"/>
    <n v="4042.3000000000029"/>
  </r>
  <r>
    <x v="220"/>
    <x v="386"/>
    <x v="0"/>
    <x v="0"/>
    <x v="11"/>
    <n v="734.12"/>
    <n v="543.19000000000005"/>
    <x v="386"/>
    <n v="2482.0899999999983"/>
  </r>
  <r>
    <x v="58"/>
    <x v="387"/>
    <x v="2"/>
    <x v="5"/>
    <x v="4"/>
    <n v="201.69"/>
    <n v="122.09"/>
    <x v="387"/>
    <n v="1193.9999999999998"/>
  </r>
  <r>
    <x v="241"/>
    <x v="388"/>
    <x v="2"/>
    <x v="0"/>
    <x v="16"/>
    <n v="524.66"/>
    <n v="345.74"/>
    <x v="388"/>
    <n v="1789.2000000000003"/>
  </r>
  <r>
    <x v="197"/>
    <x v="389"/>
    <x v="0"/>
    <x v="5"/>
    <x v="13"/>
    <n v="506.57"/>
    <n v="371.72"/>
    <x v="389"/>
    <n v="2562.1499999999996"/>
  </r>
  <r>
    <x v="193"/>
    <x v="390"/>
    <x v="2"/>
    <x v="1"/>
    <x v="8"/>
    <n v="1245.1600000000001"/>
    <n v="803.68"/>
    <x v="390"/>
    <n v="6180.720000000003"/>
  </r>
  <r>
    <x v="225"/>
    <x v="391"/>
    <x v="2"/>
    <x v="2"/>
    <x v="3"/>
    <n v="550.87"/>
    <n v="476.67"/>
    <x v="391"/>
    <n v="519.40000000000009"/>
  </r>
  <r>
    <x v="13"/>
    <x v="392"/>
    <x v="1"/>
    <x v="3"/>
    <x v="17"/>
    <n v="1666.26"/>
    <n v="1317.57"/>
    <x v="392"/>
    <n v="348.69000000000005"/>
  </r>
  <r>
    <x v="60"/>
    <x v="393"/>
    <x v="0"/>
    <x v="0"/>
    <x v="13"/>
    <n v="1189.4000000000001"/>
    <n v="790.88"/>
    <x v="393"/>
    <n v="7571.8799999999992"/>
  </r>
  <r>
    <x v="195"/>
    <x v="394"/>
    <x v="2"/>
    <x v="0"/>
    <x v="7"/>
    <n v="475.18"/>
    <n v="297.25"/>
    <x v="394"/>
    <n v="1957.2299999999996"/>
  </r>
  <r>
    <x v="226"/>
    <x v="395"/>
    <x v="2"/>
    <x v="5"/>
    <x v="2"/>
    <n v="464.25"/>
    <n v="370.12"/>
    <x v="395"/>
    <n v="1882.6000000000004"/>
  </r>
  <r>
    <x v="141"/>
    <x v="396"/>
    <x v="1"/>
    <x v="1"/>
    <x v="9"/>
    <n v="1372.97"/>
    <n v="1071.81"/>
    <x v="396"/>
    <n v="602.32000000000016"/>
  </r>
  <r>
    <x v="242"/>
    <x v="397"/>
    <x v="0"/>
    <x v="2"/>
    <x v="2"/>
    <n v="769.65"/>
    <n v="678.63"/>
    <x v="397"/>
    <n v="1820.3999999999996"/>
  </r>
  <r>
    <x v="243"/>
    <x v="398"/>
    <x v="2"/>
    <x v="3"/>
    <x v="19"/>
    <n v="1834.32"/>
    <n v="1628.66"/>
    <x v="398"/>
    <n v="1850.9400000000005"/>
  </r>
  <r>
    <x v="227"/>
    <x v="399"/>
    <x v="2"/>
    <x v="4"/>
    <x v="1"/>
    <n v="1020.96"/>
    <n v="775.68"/>
    <x v="399"/>
    <n v="1226.4000000000005"/>
  </r>
  <r>
    <x v="102"/>
    <x v="400"/>
    <x v="3"/>
    <x v="5"/>
    <x v="5"/>
    <n v="1228.28"/>
    <n v="1103.71"/>
    <x v="400"/>
    <n v="373.71000000000004"/>
  </r>
  <r>
    <x v="244"/>
    <x v="401"/>
    <x v="2"/>
    <x v="2"/>
    <x v="12"/>
    <n v="522.26"/>
    <n v="438.44"/>
    <x v="401"/>
    <n v="670.56"/>
  </r>
  <r>
    <x v="245"/>
    <x v="402"/>
    <x v="1"/>
    <x v="0"/>
    <x v="15"/>
    <n v="1459.91"/>
    <n v="1299.6099999999999"/>
    <x v="402"/>
    <n v="2885.4000000000015"/>
  </r>
  <r>
    <x v="246"/>
    <x v="403"/>
    <x v="1"/>
    <x v="4"/>
    <x v="14"/>
    <n v="375.39"/>
    <n v="284.08999999999997"/>
    <x v="403"/>
    <n v="1552.1000000000004"/>
  </r>
  <r>
    <x v="247"/>
    <x v="404"/>
    <x v="1"/>
    <x v="0"/>
    <x v="5"/>
    <n v="585.55999999999995"/>
    <n v="511.5"/>
    <x v="404"/>
    <n v="222.18000000000006"/>
  </r>
  <r>
    <x v="29"/>
    <x v="405"/>
    <x v="0"/>
    <x v="3"/>
    <x v="9"/>
    <n v="1523"/>
    <n v="1076.8599999999999"/>
    <x v="405"/>
    <n v="892.2800000000002"/>
  </r>
  <r>
    <x v="225"/>
    <x v="406"/>
    <x v="0"/>
    <x v="4"/>
    <x v="4"/>
    <n v="1239.3399999999999"/>
    <n v="824.25"/>
    <x v="406"/>
    <n v="6226.3499999999985"/>
  </r>
  <r>
    <x v="152"/>
    <x v="407"/>
    <x v="2"/>
    <x v="1"/>
    <x v="1"/>
    <n v="1586.49"/>
    <n v="1403.76"/>
    <x v="407"/>
    <n v="913.64999999999964"/>
  </r>
  <r>
    <x v="248"/>
    <x v="408"/>
    <x v="3"/>
    <x v="2"/>
    <x v="11"/>
    <n v="1274.27"/>
    <n v="776.16"/>
    <x v="408"/>
    <n v="6475.4299999999985"/>
  </r>
  <r>
    <x v="216"/>
    <x v="409"/>
    <x v="1"/>
    <x v="0"/>
    <x v="12"/>
    <n v="1157.03"/>
    <n v="949.2"/>
    <x v="409"/>
    <n v="1662.6399999999994"/>
  </r>
  <r>
    <x v="219"/>
    <x v="410"/>
    <x v="1"/>
    <x v="0"/>
    <x v="10"/>
    <n v="818.43"/>
    <n v="569.79999999999995"/>
    <x v="410"/>
    <n v="2983.5600000000004"/>
  </r>
  <r>
    <x v="249"/>
    <x v="411"/>
    <x v="3"/>
    <x v="1"/>
    <x v="5"/>
    <n v="1755.8"/>
    <n v="1063.46"/>
    <x v="411"/>
    <n v="2077.0199999999995"/>
  </r>
  <r>
    <x v="250"/>
    <x v="412"/>
    <x v="2"/>
    <x v="4"/>
    <x v="18"/>
    <n v="1961.62"/>
    <n v="1591.39"/>
    <x v="412"/>
    <n v="1480.9199999999992"/>
  </r>
  <r>
    <x v="88"/>
    <x v="413"/>
    <x v="3"/>
    <x v="3"/>
    <x v="14"/>
    <n v="952.01"/>
    <n v="624.84"/>
    <x v="413"/>
    <n v="5561.8899999999994"/>
  </r>
  <r>
    <x v="45"/>
    <x v="414"/>
    <x v="3"/>
    <x v="5"/>
    <x v="5"/>
    <n v="350.08"/>
    <n v="272.12"/>
    <x v="414"/>
    <n v="233.88"/>
  </r>
  <r>
    <x v="243"/>
    <x v="415"/>
    <x v="3"/>
    <x v="3"/>
    <x v="8"/>
    <n v="115.02"/>
    <n v="96.68"/>
    <x v="415"/>
    <n v="256.76"/>
  </r>
  <r>
    <x v="152"/>
    <x v="416"/>
    <x v="0"/>
    <x v="0"/>
    <x v="2"/>
    <n v="731.31"/>
    <n v="468.35"/>
    <x v="416"/>
    <n v="5259.2000000000007"/>
  </r>
  <r>
    <x v="163"/>
    <x v="417"/>
    <x v="1"/>
    <x v="4"/>
    <x v="6"/>
    <n v="875.18"/>
    <n v="599.79999999999995"/>
    <x v="417"/>
    <n v="1652.2800000000002"/>
  </r>
  <r>
    <x v="14"/>
    <x v="418"/>
    <x v="3"/>
    <x v="0"/>
    <x v="6"/>
    <n v="993.34"/>
    <n v="700.77"/>
    <x v="418"/>
    <n v="1755.42"/>
  </r>
  <r>
    <x v="72"/>
    <x v="419"/>
    <x v="0"/>
    <x v="5"/>
    <x v="8"/>
    <n v="1423.14"/>
    <n v="1032.28"/>
    <x v="419"/>
    <n v="5472.0399999999991"/>
  </r>
  <r>
    <x v="39"/>
    <x v="420"/>
    <x v="1"/>
    <x v="0"/>
    <x v="14"/>
    <n v="1340.65"/>
    <n v="979.04"/>
    <x v="420"/>
    <n v="6147.369999999999"/>
  </r>
  <r>
    <x v="251"/>
    <x v="421"/>
    <x v="0"/>
    <x v="2"/>
    <x v="12"/>
    <n v="684.2"/>
    <n v="569.59"/>
    <x v="421"/>
    <n v="916.88000000000011"/>
  </r>
  <r>
    <x v="133"/>
    <x v="422"/>
    <x v="0"/>
    <x v="1"/>
    <x v="13"/>
    <n v="1528.88"/>
    <n v="1135.75"/>
    <x v="422"/>
    <n v="7469.4700000000012"/>
  </r>
  <r>
    <x v="196"/>
    <x v="423"/>
    <x v="3"/>
    <x v="4"/>
    <x v="9"/>
    <n v="502.73"/>
    <n v="306.8"/>
    <x v="423"/>
    <n v="391.86"/>
  </r>
  <r>
    <x v="220"/>
    <x v="424"/>
    <x v="2"/>
    <x v="5"/>
    <x v="9"/>
    <n v="512.87"/>
    <n v="431.28"/>
    <x v="424"/>
    <n v="163.18000000000006"/>
  </r>
  <r>
    <x v="252"/>
    <x v="425"/>
    <x v="1"/>
    <x v="3"/>
    <x v="18"/>
    <n v="1199.73"/>
    <n v="830.08"/>
    <x v="425"/>
    <n v="1478.6"/>
  </r>
  <r>
    <x v="141"/>
    <x v="426"/>
    <x v="2"/>
    <x v="1"/>
    <x v="14"/>
    <n v="554.4"/>
    <n v="408.34"/>
    <x v="426"/>
    <n v="2483.0199999999995"/>
  </r>
  <r>
    <x v="86"/>
    <x v="427"/>
    <x v="3"/>
    <x v="3"/>
    <x v="7"/>
    <n v="363.54"/>
    <n v="276.05"/>
    <x v="427"/>
    <n v="962.38999999999987"/>
  </r>
  <r>
    <x v="228"/>
    <x v="428"/>
    <x v="2"/>
    <x v="4"/>
    <x v="1"/>
    <n v="605.54999999999995"/>
    <n v="464.8"/>
    <x v="428"/>
    <n v="703.75"/>
  </r>
  <r>
    <x v="167"/>
    <x v="429"/>
    <x v="1"/>
    <x v="1"/>
    <x v="5"/>
    <n v="779.53"/>
    <n v="656.37"/>
    <x v="429"/>
    <n v="369.48"/>
  </r>
  <r>
    <x v="241"/>
    <x v="430"/>
    <x v="2"/>
    <x v="5"/>
    <x v="13"/>
    <n v="612.71"/>
    <n v="436.04"/>
    <x v="430"/>
    <n v="3356.7299999999996"/>
  </r>
  <r>
    <x v="253"/>
    <x v="431"/>
    <x v="1"/>
    <x v="1"/>
    <x v="13"/>
    <n v="493.14"/>
    <n v="306.04000000000002"/>
    <x v="431"/>
    <n v="3554.8999999999996"/>
  </r>
  <r>
    <x v="254"/>
    <x v="432"/>
    <x v="0"/>
    <x v="0"/>
    <x v="12"/>
    <n v="1241.1199999999999"/>
    <n v="968.59"/>
    <x v="432"/>
    <n v="2180.2399999999989"/>
  </r>
  <r>
    <x v="18"/>
    <x v="433"/>
    <x v="3"/>
    <x v="5"/>
    <x v="13"/>
    <n v="821.67"/>
    <n v="592.02"/>
    <x v="433"/>
    <n v="4363.3500000000004"/>
  </r>
  <r>
    <x v="255"/>
    <x v="434"/>
    <x v="2"/>
    <x v="3"/>
    <x v="9"/>
    <n v="900.37"/>
    <n v="746.78"/>
    <x v="434"/>
    <n v="307.18000000000006"/>
  </r>
  <r>
    <x v="256"/>
    <x v="435"/>
    <x v="3"/>
    <x v="0"/>
    <x v="0"/>
    <n v="1103.28"/>
    <n v="671.19"/>
    <x v="435"/>
    <n v="6913.4399999999987"/>
  </r>
  <r>
    <x v="28"/>
    <x v="436"/>
    <x v="0"/>
    <x v="3"/>
    <x v="4"/>
    <n v="1638.05"/>
    <n v="992.6"/>
    <x v="436"/>
    <n v="9681.75"/>
  </r>
  <r>
    <x v="245"/>
    <x v="437"/>
    <x v="3"/>
    <x v="2"/>
    <x v="15"/>
    <n v="817.31"/>
    <n v="569.17999999999995"/>
    <x v="437"/>
    <n v="4466.34"/>
  </r>
  <r>
    <x v="16"/>
    <x v="438"/>
    <x v="1"/>
    <x v="3"/>
    <x v="7"/>
    <n v="1920.15"/>
    <n v="1229.46"/>
    <x v="438"/>
    <n v="7597.59"/>
  </r>
  <r>
    <x v="253"/>
    <x v="439"/>
    <x v="2"/>
    <x v="0"/>
    <x v="14"/>
    <n v="1467.23"/>
    <n v="1245.5899999999999"/>
    <x v="439"/>
    <n v="3767.880000000001"/>
  </r>
  <r>
    <x v="63"/>
    <x v="440"/>
    <x v="3"/>
    <x v="5"/>
    <x v="9"/>
    <n v="196.42"/>
    <n v="136.97"/>
    <x v="440"/>
    <n v="118.89999999999998"/>
  </r>
  <r>
    <x v="226"/>
    <x v="441"/>
    <x v="1"/>
    <x v="4"/>
    <x v="17"/>
    <n v="1614.07"/>
    <n v="1120.5"/>
    <x v="441"/>
    <n v="493.56999999999994"/>
  </r>
  <r>
    <x v="64"/>
    <x v="442"/>
    <x v="0"/>
    <x v="0"/>
    <x v="8"/>
    <n v="491.62"/>
    <n v="352.98"/>
    <x v="442"/>
    <n v="1940.96"/>
  </r>
  <r>
    <x v="195"/>
    <x v="443"/>
    <x v="2"/>
    <x v="2"/>
    <x v="18"/>
    <n v="603.87"/>
    <n v="476.34"/>
    <x v="443"/>
    <n v="510.12000000000012"/>
  </r>
  <r>
    <x v="52"/>
    <x v="444"/>
    <x v="3"/>
    <x v="4"/>
    <x v="11"/>
    <n v="1718.78"/>
    <n v="1115.97"/>
    <x v="444"/>
    <n v="7836.5299999999988"/>
  </r>
  <r>
    <x v="257"/>
    <x v="445"/>
    <x v="0"/>
    <x v="3"/>
    <x v="3"/>
    <n v="870.98"/>
    <n v="691.83"/>
    <x v="445"/>
    <n v="1254.0499999999993"/>
  </r>
  <r>
    <x v="38"/>
    <x v="446"/>
    <x v="0"/>
    <x v="3"/>
    <x v="9"/>
    <n v="1296.27"/>
    <n v="1034"/>
    <x v="446"/>
    <n v="524.54"/>
  </r>
  <r>
    <x v="258"/>
    <x v="447"/>
    <x v="3"/>
    <x v="3"/>
    <x v="11"/>
    <n v="1606.51"/>
    <n v="1425.41"/>
    <x v="447"/>
    <n v="2354.2999999999993"/>
  </r>
  <r>
    <x v="93"/>
    <x v="448"/>
    <x v="3"/>
    <x v="2"/>
    <x v="15"/>
    <n v="302.76"/>
    <n v="209.72"/>
    <x v="448"/>
    <n v="1674.7200000000003"/>
  </r>
  <r>
    <x v="49"/>
    <x v="449"/>
    <x v="0"/>
    <x v="1"/>
    <x v="19"/>
    <n v="1373.77"/>
    <n v="1231.8699999999999"/>
    <x v="449"/>
    <n v="1277.1000000000022"/>
  </r>
  <r>
    <x v="259"/>
    <x v="450"/>
    <x v="0"/>
    <x v="4"/>
    <x v="18"/>
    <n v="1945.01"/>
    <n v="1494.17"/>
    <x v="450"/>
    <n v="1803.3599999999997"/>
  </r>
  <r>
    <x v="260"/>
    <x v="451"/>
    <x v="3"/>
    <x v="1"/>
    <x v="4"/>
    <n v="1878.32"/>
    <n v="1351.13"/>
    <x v="451"/>
    <n v="7907.8499999999985"/>
  </r>
  <r>
    <x v="90"/>
    <x v="452"/>
    <x v="3"/>
    <x v="1"/>
    <x v="19"/>
    <n v="1024.07"/>
    <n v="857.55"/>
    <x v="452"/>
    <n v="1498.6799999999994"/>
  </r>
  <r>
    <x v="261"/>
    <x v="453"/>
    <x v="3"/>
    <x v="5"/>
    <x v="17"/>
    <n v="1693.31"/>
    <n v="1204.75"/>
    <x v="453"/>
    <n v="488.55999999999995"/>
  </r>
  <r>
    <x v="43"/>
    <x v="454"/>
    <x v="3"/>
    <x v="3"/>
    <x v="19"/>
    <n v="1106.06"/>
    <n v="693.71"/>
    <x v="454"/>
    <n v="3711.1500000000005"/>
  </r>
  <r>
    <x v="162"/>
    <x v="455"/>
    <x v="2"/>
    <x v="4"/>
    <x v="0"/>
    <n v="1648.65"/>
    <n v="1220.19"/>
    <x v="455"/>
    <n v="6855.3600000000006"/>
  </r>
  <r>
    <x v="68"/>
    <x v="456"/>
    <x v="3"/>
    <x v="0"/>
    <x v="18"/>
    <n v="1145.95"/>
    <n v="797.33"/>
    <x v="456"/>
    <n v="1394.48"/>
  </r>
  <r>
    <x v="98"/>
    <x v="457"/>
    <x v="3"/>
    <x v="5"/>
    <x v="14"/>
    <n v="1658.19"/>
    <n v="1173.55"/>
    <x v="457"/>
    <n v="8238.880000000001"/>
  </r>
  <r>
    <x v="6"/>
    <x v="458"/>
    <x v="2"/>
    <x v="4"/>
    <x v="1"/>
    <n v="593.80999999999995"/>
    <n v="364"/>
    <x v="458"/>
    <n v="1149.0500000000002"/>
  </r>
  <r>
    <x v="100"/>
    <x v="459"/>
    <x v="3"/>
    <x v="1"/>
    <x v="0"/>
    <n v="1437.31"/>
    <n v="1002.12"/>
    <x v="459"/>
    <n v="6963.0399999999991"/>
  </r>
  <r>
    <x v="262"/>
    <x v="460"/>
    <x v="2"/>
    <x v="4"/>
    <x v="3"/>
    <n v="1787.31"/>
    <n v="1543.01"/>
    <x v="460"/>
    <n v="1710.1000000000004"/>
  </r>
  <r>
    <x v="225"/>
    <x v="461"/>
    <x v="0"/>
    <x v="5"/>
    <x v="11"/>
    <n v="1166.9000000000001"/>
    <n v="923.42"/>
    <x v="461"/>
    <n v="3165.2400000000016"/>
  </r>
  <r>
    <x v="263"/>
    <x v="462"/>
    <x v="0"/>
    <x v="3"/>
    <x v="18"/>
    <n v="437.51"/>
    <n v="300.5"/>
    <x v="462"/>
    <n v="548.04"/>
  </r>
  <r>
    <x v="197"/>
    <x v="463"/>
    <x v="2"/>
    <x v="2"/>
    <x v="7"/>
    <n v="587.23"/>
    <n v="361.56"/>
    <x v="463"/>
    <n v="2482.37"/>
  </r>
  <r>
    <x v="258"/>
    <x v="464"/>
    <x v="3"/>
    <x v="4"/>
    <x v="7"/>
    <n v="1463.16"/>
    <n v="1030.98"/>
    <x v="464"/>
    <n v="4753.9799999999996"/>
  </r>
  <r>
    <x v="151"/>
    <x v="465"/>
    <x v="3"/>
    <x v="2"/>
    <x v="17"/>
    <n v="1340.33"/>
    <n v="841.74"/>
    <x v="465"/>
    <n v="498.58999999999992"/>
  </r>
  <r>
    <x v="165"/>
    <x v="466"/>
    <x v="1"/>
    <x v="1"/>
    <x v="0"/>
    <n v="708.84"/>
    <n v="432.78"/>
    <x v="466"/>
    <n v="4416.9600000000009"/>
  </r>
  <r>
    <x v="129"/>
    <x v="467"/>
    <x v="1"/>
    <x v="0"/>
    <x v="10"/>
    <n v="645.95000000000005"/>
    <n v="411.79"/>
    <x v="467"/>
    <n v="2809.9199999999992"/>
  </r>
  <r>
    <x v="173"/>
    <x v="468"/>
    <x v="1"/>
    <x v="5"/>
    <x v="1"/>
    <n v="225.1"/>
    <n v="181.1"/>
    <x v="468"/>
    <n v="220"/>
  </r>
  <r>
    <x v="231"/>
    <x v="469"/>
    <x v="0"/>
    <x v="3"/>
    <x v="2"/>
    <n v="1573.3"/>
    <n v="1122.26"/>
    <x v="469"/>
    <n v="9020.7999999999993"/>
  </r>
  <r>
    <x v="67"/>
    <x v="470"/>
    <x v="0"/>
    <x v="3"/>
    <x v="9"/>
    <n v="1092.1600000000001"/>
    <n v="793.9"/>
    <x v="470"/>
    <n v="596.52000000000021"/>
  </r>
  <r>
    <x v="144"/>
    <x v="471"/>
    <x v="1"/>
    <x v="4"/>
    <x v="1"/>
    <n v="556.02"/>
    <n v="355.74"/>
    <x v="471"/>
    <n v="1001.3999999999999"/>
  </r>
  <r>
    <x v="245"/>
    <x v="472"/>
    <x v="1"/>
    <x v="2"/>
    <x v="3"/>
    <n v="485.73"/>
    <n v="348.05"/>
    <x v="472"/>
    <n v="963.76000000000022"/>
  </r>
  <r>
    <x v="264"/>
    <x v="473"/>
    <x v="2"/>
    <x v="0"/>
    <x v="4"/>
    <n v="639.59"/>
    <n v="388.97"/>
    <x v="473"/>
    <n v="3759.3"/>
  </r>
  <r>
    <x v="198"/>
    <x v="474"/>
    <x v="2"/>
    <x v="1"/>
    <x v="6"/>
    <n v="322.14999999999998"/>
    <n v="210.8"/>
    <x v="474"/>
    <n v="668.09999999999991"/>
  </r>
  <r>
    <x v="227"/>
    <x v="475"/>
    <x v="0"/>
    <x v="3"/>
    <x v="2"/>
    <n v="283.94"/>
    <n v="237.69"/>
    <x v="475"/>
    <n v="925"/>
  </r>
  <r>
    <x v="71"/>
    <x v="476"/>
    <x v="2"/>
    <x v="0"/>
    <x v="18"/>
    <n v="771.27"/>
    <n v="688.19"/>
    <x v="476"/>
    <n v="332.31999999999971"/>
  </r>
  <r>
    <x v="77"/>
    <x v="477"/>
    <x v="2"/>
    <x v="3"/>
    <x v="0"/>
    <n v="1053.5999999999999"/>
    <n v="775.82"/>
    <x v="477"/>
    <n v="4444.4799999999977"/>
  </r>
  <r>
    <x v="205"/>
    <x v="478"/>
    <x v="2"/>
    <x v="0"/>
    <x v="15"/>
    <n v="63.48"/>
    <n v="48.9"/>
    <x v="478"/>
    <n v="262.44000000000017"/>
  </r>
  <r>
    <x v="255"/>
    <x v="479"/>
    <x v="0"/>
    <x v="5"/>
    <x v="9"/>
    <n v="982.76"/>
    <n v="749.04"/>
    <x v="479"/>
    <n v="467.44000000000005"/>
  </r>
  <r>
    <x v="98"/>
    <x v="480"/>
    <x v="3"/>
    <x v="5"/>
    <x v="19"/>
    <n v="1266.53"/>
    <n v="951.47"/>
    <x v="480"/>
    <n v="2835.5400000000009"/>
  </r>
  <r>
    <x v="233"/>
    <x v="481"/>
    <x v="1"/>
    <x v="0"/>
    <x v="6"/>
    <n v="409.94"/>
    <n v="280.70999999999998"/>
    <x v="481"/>
    <n v="775.38000000000011"/>
  </r>
  <r>
    <x v="1"/>
    <x v="482"/>
    <x v="1"/>
    <x v="1"/>
    <x v="2"/>
    <n v="1162.82"/>
    <n v="1025.99"/>
    <x v="482"/>
    <n v="2736.6000000000022"/>
  </r>
  <r>
    <x v="102"/>
    <x v="483"/>
    <x v="2"/>
    <x v="1"/>
    <x v="9"/>
    <n v="1172.3"/>
    <n v="814.72"/>
    <x v="483"/>
    <n v="715.15999999999985"/>
  </r>
  <r>
    <x v="111"/>
    <x v="364"/>
    <x v="1"/>
    <x v="1"/>
    <x v="18"/>
    <n v="1489.02"/>
    <n v="1054.55"/>
    <x v="484"/>
    <n v="1737.88"/>
  </r>
  <r>
    <x v="139"/>
    <x v="484"/>
    <x v="2"/>
    <x v="1"/>
    <x v="18"/>
    <n v="1785.25"/>
    <n v="1286.69"/>
    <x v="485"/>
    <n v="1994.2399999999998"/>
  </r>
  <r>
    <x v="6"/>
    <x v="485"/>
    <x v="3"/>
    <x v="0"/>
    <x v="1"/>
    <n v="499.58"/>
    <n v="327.98"/>
    <x v="486"/>
    <n v="858"/>
  </r>
  <r>
    <x v="54"/>
    <x v="486"/>
    <x v="2"/>
    <x v="4"/>
    <x v="1"/>
    <n v="1824.4"/>
    <n v="1447.99"/>
    <x v="487"/>
    <n v="1882.0500000000002"/>
  </r>
  <r>
    <x v="189"/>
    <x v="487"/>
    <x v="2"/>
    <x v="3"/>
    <x v="16"/>
    <n v="1741.32"/>
    <n v="1398.22"/>
    <x v="488"/>
    <n v="3431"/>
  </r>
  <r>
    <x v="7"/>
    <x v="488"/>
    <x v="1"/>
    <x v="1"/>
    <x v="13"/>
    <n v="744.58"/>
    <n v="593.99"/>
    <x v="489"/>
    <n v="2861.2100000000009"/>
  </r>
  <r>
    <x v="265"/>
    <x v="489"/>
    <x v="0"/>
    <x v="5"/>
    <x v="12"/>
    <n v="780.04"/>
    <n v="570.15"/>
    <x v="490"/>
    <n v="1679.12"/>
  </r>
  <r>
    <x v="40"/>
    <x v="490"/>
    <x v="0"/>
    <x v="3"/>
    <x v="9"/>
    <n v="1360.2"/>
    <n v="853.61"/>
    <x v="491"/>
    <n v="1013.1800000000001"/>
  </r>
  <r>
    <x v="266"/>
    <x v="491"/>
    <x v="1"/>
    <x v="4"/>
    <x v="19"/>
    <n v="150.38999999999999"/>
    <n v="126.12"/>
    <x v="492"/>
    <n v="218.43000000000006"/>
  </r>
  <r>
    <x v="176"/>
    <x v="492"/>
    <x v="2"/>
    <x v="3"/>
    <x v="9"/>
    <n v="656.57"/>
    <n v="513.71"/>
    <x v="493"/>
    <n v="285.72000000000003"/>
  </r>
  <r>
    <x v="208"/>
    <x v="493"/>
    <x v="1"/>
    <x v="0"/>
    <x v="3"/>
    <n v="198.34"/>
    <n v="127.82"/>
    <x v="494"/>
    <n v="493.6400000000001"/>
  </r>
  <r>
    <x v="19"/>
    <x v="494"/>
    <x v="1"/>
    <x v="4"/>
    <x v="7"/>
    <n v="440.52"/>
    <n v="300.42"/>
    <x v="495"/>
    <n v="1541.1"/>
  </r>
  <r>
    <x v="242"/>
    <x v="495"/>
    <x v="2"/>
    <x v="0"/>
    <x v="6"/>
    <n v="1523.36"/>
    <n v="1343.79"/>
    <x v="496"/>
    <n v="1077.42"/>
  </r>
  <r>
    <x v="148"/>
    <x v="496"/>
    <x v="3"/>
    <x v="5"/>
    <x v="17"/>
    <n v="140.68"/>
    <n v="115.32"/>
    <x v="497"/>
    <n v="25.360000000000014"/>
  </r>
  <r>
    <x v="79"/>
    <x v="497"/>
    <x v="0"/>
    <x v="0"/>
    <x v="16"/>
    <n v="1821.96"/>
    <n v="1208.94"/>
    <x v="498"/>
    <n v="6130.1999999999971"/>
  </r>
  <r>
    <x v="14"/>
    <x v="498"/>
    <x v="0"/>
    <x v="3"/>
    <x v="17"/>
    <n v="1293.96"/>
    <n v="942.61"/>
    <x v="499"/>
    <n v="351.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AB02EE-53EF-4F29-99EC-7C75B2C5CB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3:F10" firstHeaderRow="1" firstDataRow="1" firstDataCol="1"/>
  <pivotFields count="12">
    <pivotField numFmtId="164" showAll="0">
      <items count="268">
        <item x="138"/>
        <item x="254"/>
        <item x="244"/>
        <item x="63"/>
        <item x="253"/>
        <item x="119"/>
        <item x="264"/>
        <item x="230"/>
        <item x="27"/>
        <item x="207"/>
        <item x="31"/>
        <item x="250"/>
        <item x="99"/>
        <item x="262"/>
        <item x="211"/>
        <item x="182"/>
        <item x="233"/>
        <item x="98"/>
        <item x="40"/>
        <item x="116"/>
        <item x="172"/>
        <item x="130"/>
        <item x="23"/>
        <item x="107"/>
        <item x="144"/>
        <item x="255"/>
        <item x="91"/>
        <item x="247"/>
        <item x="77"/>
        <item x="10"/>
        <item x="171"/>
        <item x="35"/>
        <item x="149"/>
        <item x="146"/>
        <item x="49"/>
        <item x="209"/>
        <item x="93"/>
        <item x="200"/>
        <item x="117"/>
        <item x="141"/>
        <item x="188"/>
        <item x="143"/>
        <item x="36"/>
        <item x="84"/>
        <item x="80"/>
        <item x="33"/>
        <item x="110"/>
        <item x="66"/>
        <item x="125"/>
        <item x="133"/>
        <item x="21"/>
        <item x="166"/>
        <item x="148"/>
        <item x="131"/>
        <item x="232"/>
        <item x="68"/>
        <item x="218"/>
        <item x="38"/>
        <item x="15"/>
        <item x="73"/>
        <item x="97"/>
        <item x="134"/>
        <item x="160"/>
        <item x="2"/>
        <item x="161"/>
        <item x="25"/>
        <item x="155"/>
        <item x="152"/>
        <item x="75"/>
        <item x="142"/>
        <item x="157"/>
        <item x="92"/>
        <item x="78"/>
        <item x="132"/>
        <item x="191"/>
        <item x="43"/>
        <item x="194"/>
        <item x="151"/>
        <item x="174"/>
        <item x="186"/>
        <item x="249"/>
        <item x="265"/>
        <item x="202"/>
        <item x="214"/>
        <item x="85"/>
        <item x="103"/>
        <item x="50"/>
        <item x="251"/>
        <item x="64"/>
        <item x="189"/>
        <item x="248"/>
        <item x="53"/>
        <item x="216"/>
        <item x="245"/>
        <item x="168"/>
        <item x="121"/>
        <item x="122"/>
        <item x="159"/>
        <item x="47"/>
        <item x="219"/>
        <item x="55"/>
        <item x="19"/>
        <item x="263"/>
        <item x="196"/>
        <item x="56"/>
        <item x="215"/>
        <item x="76"/>
        <item x="52"/>
        <item x="12"/>
        <item x="18"/>
        <item x="7"/>
        <item x="115"/>
        <item x="197"/>
        <item x="62"/>
        <item x="206"/>
        <item x="109"/>
        <item x="217"/>
        <item x="178"/>
        <item x="136"/>
        <item x="177"/>
        <item x="51"/>
        <item x="154"/>
        <item x="164"/>
        <item x="4"/>
        <item x="29"/>
        <item x="127"/>
        <item x="57"/>
        <item x="120"/>
        <item x="22"/>
        <item x="204"/>
        <item x="179"/>
        <item x="16"/>
        <item x="240"/>
        <item x="128"/>
        <item x="140"/>
        <item x="112"/>
        <item x="14"/>
        <item x="236"/>
        <item x="139"/>
        <item x="90"/>
        <item x="26"/>
        <item x="58"/>
        <item x="184"/>
        <item x="165"/>
        <item x="111"/>
        <item x="0"/>
        <item x="59"/>
        <item x="243"/>
        <item x="261"/>
        <item x="181"/>
        <item x="220"/>
        <item x="135"/>
        <item x="225"/>
        <item x="65"/>
        <item x="208"/>
        <item x="227"/>
        <item x="257"/>
        <item x="129"/>
        <item x="175"/>
        <item x="89"/>
        <item x="106"/>
        <item x="108"/>
        <item x="28"/>
        <item x="32"/>
        <item x="1"/>
        <item x="60"/>
        <item x="235"/>
        <item x="237"/>
        <item x="45"/>
        <item x="147"/>
        <item x="176"/>
        <item x="72"/>
        <item x="96"/>
        <item x="180"/>
        <item x="150"/>
        <item x="167"/>
        <item x="82"/>
        <item x="226"/>
        <item x="241"/>
        <item x="187"/>
        <item x="201"/>
        <item x="87"/>
        <item x="205"/>
        <item x="193"/>
        <item x="100"/>
        <item x="238"/>
        <item x="156"/>
        <item x="137"/>
        <item x="61"/>
        <item x="113"/>
        <item x="114"/>
        <item x="212"/>
        <item x="258"/>
        <item x="222"/>
        <item x="162"/>
        <item x="54"/>
        <item x="228"/>
        <item x="83"/>
        <item x="169"/>
        <item x="67"/>
        <item x="39"/>
        <item x="88"/>
        <item x="102"/>
        <item x="185"/>
        <item x="42"/>
        <item x="3"/>
        <item x="34"/>
        <item x="5"/>
        <item x="224"/>
        <item x="6"/>
        <item x="124"/>
        <item x="195"/>
        <item x="13"/>
        <item x="20"/>
        <item x="266"/>
        <item x="231"/>
        <item x="210"/>
        <item x="41"/>
        <item x="71"/>
        <item x="242"/>
        <item x="95"/>
        <item x="239"/>
        <item x="46"/>
        <item x="260"/>
        <item x="192"/>
        <item x="198"/>
        <item x="190"/>
        <item x="30"/>
        <item x="183"/>
        <item x="69"/>
        <item x="213"/>
        <item x="44"/>
        <item x="37"/>
        <item x="9"/>
        <item x="221"/>
        <item x="256"/>
        <item x="163"/>
        <item x="173"/>
        <item x="104"/>
        <item x="199"/>
        <item x="48"/>
        <item x="101"/>
        <item x="252"/>
        <item x="79"/>
        <item x="153"/>
        <item x="11"/>
        <item x="70"/>
        <item x="259"/>
        <item x="8"/>
        <item x="158"/>
        <item x="234"/>
        <item x="118"/>
        <item x="24"/>
        <item x="223"/>
        <item x="229"/>
        <item x="81"/>
        <item x="145"/>
        <item x="86"/>
        <item x="126"/>
        <item x="246"/>
        <item x="74"/>
        <item x="17"/>
        <item x="94"/>
        <item x="123"/>
        <item x="203"/>
        <item x="105"/>
        <item x="170"/>
        <item t="default"/>
      </items>
    </pivotField>
    <pivotField showAll="0"/>
    <pivotField showAll="0">
      <items count="5">
        <item x="2"/>
        <item x="3"/>
        <item x="0"/>
        <item x="1"/>
        <item t="default"/>
      </items>
    </pivotField>
    <pivotField axis="axisRow" showAll="0">
      <items count="7">
        <item x="3"/>
        <item x="2"/>
        <item x="0"/>
        <item x="1"/>
        <item x="5"/>
        <item x="4"/>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Total_Sale" fld="7"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3" count="1" selected="0">
            <x v="0"/>
          </reference>
        </references>
      </pivotArea>
    </chartFormat>
    <chartFormat chart="15" format="24">
      <pivotArea type="data" outline="0" fieldPosition="0">
        <references count="2">
          <reference field="4294967294" count="1" selected="0">
            <x v="0"/>
          </reference>
          <reference field="3" count="1" selected="0">
            <x v="1"/>
          </reference>
        </references>
      </pivotArea>
    </chartFormat>
    <chartFormat chart="15" format="25">
      <pivotArea type="data" outline="0" fieldPosition="0">
        <references count="2">
          <reference field="4294967294" count="1" selected="0">
            <x v="0"/>
          </reference>
          <reference field="3" count="1" selected="0">
            <x v="2"/>
          </reference>
        </references>
      </pivotArea>
    </chartFormat>
    <chartFormat chart="15" format="26">
      <pivotArea type="data" outline="0" fieldPosition="0">
        <references count="2">
          <reference field="4294967294" count="1" selected="0">
            <x v="0"/>
          </reference>
          <reference field="3" count="1" selected="0">
            <x v="3"/>
          </reference>
        </references>
      </pivotArea>
    </chartFormat>
    <chartFormat chart="15" format="27">
      <pivotArea type="data" outline="0" fieldPosition="0">
        <references count="2">
          <reference field="4294967294" count="1" selected="0">
            <x v="0"/>
          </reference>
          <reference field="3" count="1" selected="0">
            <x v="4"/>
          </reference>
        </references>
      </pivotArea>
    </chartFormat>
    <chartFormat chart="15" format="2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A9068-FCE9-4134-9E8E-A3870CA9FB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3:B20" firstHeaderRow="1" firstDataRow="1" firstDataCol="1"/>
  <pivotFields count="12">
    <pivotField numFmtId="164" showAll="0">
      <items count="268">
        <item x="138"/>
        <item x="254"/>
        <item x="244"/>
        <item x="63"/>
        <item x="253"/>
        <item x="119"/>
        <item x="264"/>
        <item x="230"/>
        <item x="27"/>
        <item x="207"/>
        <item x="31"/>
        <item x="250"/>
        <item x="99"/>
        <item x="262"/>
        <item x="211"/>
        <item x="182"/>
        <item x="233"/>
        <item x="98"/>
        <item x="40"/>
        <item x="116"/>
        <item x="172"/>
        <item x="130"/>
        <item x="23"/>
        <item x="107"/>
        <item x="144"/>
        <item x="255"/>
        <item x="91"/>
        <item x="247"/>
        <item x="77"/>
        <item x="10"/>
        <item x="171"/>
        <item x="35"/>
        <item x="149"/>
        <item x="146"/>
        <item x="49"/>
        <item x="209"/>
        <item x="93"/>
        <item x="200"/>
        <item x="117"/>
        <item x="141"/>
        <item x="188"/>
        <item x="143"/>
        <item x="36"/>
        <item x="84"/>
        <item x="80"/>
        <item x="33"/>
        <item x="110"/>
        <item x="66"/>
        <item x="125"/>
        <item x="133"/>
        <item x="21"/>
        <item x="166"/>
        <item x="148"/>
        <item x="131"/>
        <item x="232"/>
        <item x="68"/>
        <item x="218"/>
        <item x="38"/>
        <item x="15"/>
        <item x="73"/>
        <item x="97"/>
        <item x="134"/>
        <item x="160"/>
        <item x="2"/>
        <item x="161"/>
        <item x="25"/>
        <item x="155"/>
        <item x="152"/>
        <item x="75"/>
        <item x="142"/>
        <item x="157"/>
        <item x="92"/>
        <item x="78"/>
        <item x="132"/>
        <item x="191"/>
        <item x="43"/>
        <item x="194"/>
        <item x="151"/>
        <item x="174"/>
        <item x="186"/>
        <item x="249"/>
        <item x="265"/>
        <item x="202"/>
        <item x="214"/>
        <item x="85"/>
        <item x="103"/>
        <item x="50"/>
        <item x="251"/>
        <item x="64"/>
        <item x="189"/>
        <item x="248"/>
        <item x="53"/>
        <item x="216"/>
        <item x="245"/>
        <item x="168"/>
        <item x="121"/>
        <item x="122"/>
        <item x="159"/>
        <item x="47"/>
        <item x="219"/>
        <item x="55"/>
        <item x="19"/>
        <item x="263"/>
        <item x="196"/>
        <item x="56"/>
        <item x="215"/>
        <item x="76"/>
        <item x="52"/>
        <item x="12"/>
        <item x="18"/>
        <item x="7"/>
        <item x="115"/>
        <item x="197"/>
        <item x="62"/>
        <item x="206"/>
        <item x="109"/>
        <item x="217"/>
        <item x="178"/>
        <item x="136"/>
        <item x="177"/>
        <item x="51"/>
        <item x="154"/>
        <item x="164"/>
        <item x="4"/>
        <item x="29"/>
        <item x="127"/>
        <item x="57"/>
        <item x="120"/>
        <item x="22"/>
        <item x="204"/>
        <item x="179"/>
        <item x="16"/>
        <item x="240"/>
        <item x="128"/>
        <item x="140"/>
        <item x="112"/>
        <item x="14"/>
        <item x="236"/>
        <item x="139"/>
        <item x="90"/>
        <item x="26"/>
        <item x="58"/>
        <item x="184"/>
        <item x="165"/>
        <item x="111"/>
        <item x="0"/>
        <item x="59"/>
        <item x="243"/>
        <item x="261"/>
        <item x="181"/>
        <item x="220"/>
        <item x="135"/>
        <item x="225"/>
        <item x="65"/>
        <item x="208"/>
        <item x="227"/>
        <item x="257"/>
        <item x="129"/>
        <item x="175"/>
        <item x="89"/>
        <item x="106"/>
        <item x="108"/>
        <item x="28"/>
        <item x="32"/>
        <item x="1"/>
        <item x="60"/>
        <item x="235"/>
        <item x="237"/>
        <item x="45"/>
        <item x="147"/>
        <item x="176"/>
        <item x="72"/>
        <item x="96"/>
        <item x="180"/>
        <item x="150"/>
        <item x="167"/>
        <item x="82"/>
        <item x="226"/>
        <item x="241"/>
        <item x="187"/>
        <item x="201"/>
        <item x="87"/>
        <item x="205"/>
        <item x="193"/>
        <item x="100"/>
        <item x="238"/>
        <item x="156"/>
        <item x="137"/>
        <item x="61"/>
        <item x="113"/>
        <item x="114"/>
        <item x="212"/>
        <item x="258"/>
        <item x="222"/>
        <item x="162"/>
        <item x="54"/>
        <item x="228"/>
        <item x="83"/>
        <item x="169"/>
        <item x="67"/>
        <item x="39"/>
        <item x="88"/>
        <item x="102"/>
        <item x="185"/>
        <item x="42"/>
        <item x="3"/>
        <item x="34"/>
        <item x="5"/>
        <item x="224"/>
        <item x="6"/>
        <item x="124"/>
        <item x="195"/>
        <item x="13"/>
        <item x="20"/>
        <item x="266"/>
        <item x="231"/>
        <item x="210"/>
        <item x="41"/>
        <item x="71"/>
        <item x="242"/>
        <item x="95"/>
        <item x="239"/>
        <item x="46"/>
        <item x="260"/>
        <item x="192"/>
        <item x="198"/>
        <item x="190"/>
        <item x="30"/>
        <item x="183"/>
        <item x="69"/>
        <item x="213"/>
        <item x="44"/>
        <item x="37"/>
        <item x="9"/>
        <item x="221"/>
        <item x="256"/>
        <item x="163"/>
        <item x="173"/>
        <item x="104"/>
        <item x="199"/>
        <item x="48"/>
        <item x="101"/>
        <item x="252"/>
        <item x="79"/>
        <item x="153"/>
        <item x="11"/>
        <item x="70"/>
        <item x="259"/>
        <item x="8"/>
        <item x="158"/>
        <item x="234"/>
        <item x="118"/>
        <item x="24"/>
        <item x="223"/>
        <item x="229"/>
        <item x="81"/>
        <item x="145"/>
        <item x="86"/>
        <item x="126"/>
        <item x="246"/>
        <item x="74"/>
        <item x="17"/>
        <item x="94"/>
        <item x="123"/>
        <item x="203"/>
        <item x="105"/>
        <item x="170"/>
        <item t="default"/>
      </items>
    </pivotField>
    <pivotField showAll="0"/>
    <pivotField showAll="0" sortType="ascending">
      <items count="5">
        <item x="2"/>
        <item x="3"/>
        <item x="0"/>
        <item x="1"/>
        <item t="default"/>
      </items>
    </pivotField>
    <pivotField axis="axisRow" showAll="0">
      <items count="7">
        <item x="3"/>
        <item x="2"/>
        <item x="0"/>
        <item x="1"/>
        <item x="5"/>
        <item x="4"/>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profit" fld="8" baseField="0" baseItem="0"/>
  </dataFields>
  <formats count="7">
    <format dxfId="12">
      <pivotArea outline="0" collapsedLevelsAreSubtotals="1"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5">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84FA9-192F-4729-9A83-6C2B183C88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2">
    <pivotField numFmtId="164" showAll="0">
      <items count="268">
        <item x="138"/>
        <item x="254"/>
        <item x="244"/>
        <item x="63"/>
        <item x="253"/>
        <item x="119"/>
        <item x="264"/>
        <item x="230"/>
        <item x="27"/>
        <item x="207"/>
        <item x="31"/>
        <item x="250"/>
        <item x="99"/>
        <item x="262"/>
        <item x="211"/>
        <item x="182"/>
        <item x="233"/>
        <item x="98"/>
        <item x="40"/>
        <item x="116"/>
        <item x="172"/>
        <item x="130"/>
        <item x="23"/>
        <item x="107"/>
        <item x="144"/>
        <item x="255"/>
        <item x="91"/>
        <item x="247"/>
        <item x="77"/>
        <item x="10"/>
        <item x="171"/>
        <item x="35"/>
        <item x="149"/>
        <item x="146"/>
        <item x="49"/>
        <item x="209"/>
        <item x="93"/>
        <item x="200"/>
        <item x="117"/>
        <item x="141"/>
        <item x="188"/>
        <item x="143"/>
        <item x="36"/>
        <item x="84"/>
        <item x="80"/>
        <item x="33"/>
        <item x="110"/>
        <item x="66"/>
        <item x="125"/>
        <item x="133"/>
        <item x="21"/>
        <item x="166"/>
        <item x="148"/>
        <item x="131"/>
        <item x="232"/>
        <item x="68"/>
        <item x="218"/>
        <item x="38"/>
        <item x="15"/>
        <item x="73"/>
        <item x="97"/>
        <item x="134"/>
        <item x="160"/>
        <item x="2"/>
        <item x="161"/>
        <item x="25"/>
        <item x="155"/>
        <item x="152"/>
        <item x="75"/>
        <item x="142"/>
        <item x="157"/>
        <item x="92"/>
        <item x="78"/>
        <item x="132"/>
        <item x="191"/>
        <item x="43"/>
        <item x="194"/>
        <item x="151"/>
        <item x="174"/>
        <item x="186"/>
        <item x="249"/>
        <item x="265"/>
        <item x="202"/>
        <item x="214"/>
        <item x="85"/>
        <item x="103"/>
        <item x="50"/>
        <item x="251"/>
        <item x="64"/>
        <item x="189"/>
        <item x="248"/>
        <item x="53"/>
        <item x="216"/>
        <item x="245"/>
        <item x="168"/>
        <item x="121"/>
        <item x="122"/>
        <item x="159"/>
        <item x="47"/>
        <item x="219"/>
        <item x="55"/>
        <item x="19"/>
        <item x="263"/>
        <item x="196"/>
        <item x="56"/>
        <item x="215"/>
        <item x="76"/>
        <item x="52"/>
        <item x="12"/>
        <item x="18"/>
        <item x="7"/>
        <item x="115"/>
        <item x="197"/>
        <item x="62"/>
        <item x="206"/>
        <item x="109"/>
        <item x="217"/>
        <item x="178"/>
        <item x="136"/>
        <item x="177"/>
        <item x="51"/>
        <item x="154"/>
        <item x="164"/>
        <item x="4"/>
        <item x="29"/>
        <item x="127"/>
        <item x="57"/>
        <item x="120"/>
        <item x="22"/>
        <item x="204"/>
        <item x="179"/>
        <item x="16"/>
        <item x="240"/>
        <item x="128"/>
        <item x="140"/>
        <item x="112"/>
        <item x="14"/>
        <item x="236"/>
        <item x="139"/>
        <item x="90"/>
        <item x="26"/>
        <item x="58"/>
        <item x="184"/>
        <item x="165"/>
        <item x="111"/>
        <item x="0"/>
        <item x="59"/>
        <item x="243"/>
        <item x="261"/>
        <item x="181"/>
        <item x="220"/>
        <item x="135"/>
        <item x="225"/>
        <item x="65"/>
        <item x="208"/>
        <item x="227"/>
        <item x="257"/>
        <item x="129"/>
        <item x="175"/>
        <item x="89"/>
        <item x="106"/>
        <item x="108"/>
        <item x="28"/>
        <item x="32"/>
        <item x="1"/>
        <item x="60"/>
        <item x="235"/>
        <item x="237"/>
        <item x="45"/>
        <item x="147"/>
        <item x="176"/>
        <item x="72"/>
        <item x="96"/>
        <item x="180"/>
        <item x="150"/>
        <item x="167"/>
        <item x="82"/>
        <item x="226"/>
        <item x="241"/>
        <item x="187"/>
        <item x="201"/>
        <item x="87"/>
        <item x="205"/>
        <item x="193"/>
        <item x="100"/>
        <item x="238"/>
        <item x="156"/>
        <item x="137"/>
        <item x="61"/>
        <item x="113"/>
        <item x="114"/>
        <item x="212"/>
        <item x="258"/>
        <item x="222"/>
        <item x="162"/>
        <item x="54"/>
        <item x="228"/>
        <item x="83"/>
        <item x="169"/>
        <item x="67"/>
        <item x="39"/>
        <item x="88"/>
        <item x="102"/>
        <item x="185"/>
        <item x="42"/>
        <item x="3"/>
        <item x="34"/>
        <item x="5"/>
        <item x="224"/>
        <item x="6"/>
        <item x="124"/>
        <item x="195"/>
        <item x="13"/>
        <item x="20"/>
        <item x="266"/>
        <item x="231"/>
        <item x="210"/>
        <item x="41"/>
        <item x="71"/>
        <item x="242"/>
        <item x="95"/>
        <item x="239"/>
        <item x="46"/>
        <item x="260"/>
        <item x="192"/>
        <item x="198"/>
        <item x="190"/>
        <item x="30"/>
        <item x="183"/>
        <item x="69"/>
        <item x="213"/>
        <item x="44"/>
        <item x="37"/>
        <item x="9"/>
        <item x="221"/>
        <item x="256"/>
        <item x="163"/>
        <item x="173"/>
        <item x="104"/>
        <item x="199"/>
        <item x="48"/>
        <item x="101"/>
        <item x="252"/>
        <item x="79"/>
        <item x="153"/>
        <item x="11"/>
        <item x="70"/>
        <item x="259"/>
        <item x="8"/>
        <item x="158"/>
        <item x="234"/>
        <item x="118"/>
        <item x="24"/>
        <item x="223"/>
        <item x="229"/>
        <item x="81"/>
        <item x="145"/>
        <item x="86"/>
        <item x="126"/>
        <item x="246"/>
        <item x="74"/>
        <item x="17"/>
        <item x="94"/>
        <item x="123"/>
        <item x="203"/>
        <item x="105"/>
        <item x="170"/>
        <item t="default"/>
      </items>
    </pivotField>
    <pivotField showAll="0">
      <items count="500">
        <item x="116"/>
        <item x="217"/>
        <item x="353"/>
        <item x="258"/>
        <item x="247"/>
        <item x="367"/>
        <item x="185"/>
        <item x="416"/>
        <item x="465"/>
        <item x="81"/>
        <item x="113"/>
        <item x="30"/>
        <item x="283"/>
        <item x="296"/>
        <item x="28"/>
        <item x="373"/>
        <item x="377"/>
        <item x="171"/>
        <item x="316"/>
        <item x="273"/>
        <item x="219"/>
        <item x="459"/>
        <item x="68"/>
        <item x="402"/>
        <item x="183"/>
        <item x="369"/>
        <item x="46"/>
        <item x="497"/>
        <item x="360"/>
        <item x="189"/>
        <item x="324"/>
        <item x="111"/>
        <item x="311"/>
        <item x="378"/>
        <item x="447"/>
        <item x="31"/>
        <item x="352"/>
        <item x="449"/>
        <item x="301"/>
        <item x="127"/>
        <item x="328"/>
        <item x="429"/>
        <item x="225"/>
        <item x="82"/>
        <item x="382"/>
        <item x="65"/>
        <item x="198"/>
        <item x="61"/>
        <item x="211"/>
        <item x="254"/>
        <item x="481"/>
        <item x="393"/>
        <item x="255"/>
        <item x="420"/>
        <item x="110"/>
        <item x="383"/>
        <item x="407"/>
        <item x="188"/>
        <item x="163"/>
        <item x="140"/>
        <item x="11"/>
        <item x="6"/>
        <item x="463"/>
        <item x="331"/>
        <item x="109"/>
        <item x="224"/>
        <item x="282"/>
        <item x="85"/>
        <item x="203"/>
        <item x="288"/>
        <item x="93"/>
        <item x="177"/>
        <item x="293"/>
        <item x="292"/>
        <item x="467"/>
        <item x="7"/>
        <item x="453"/>
        <item x="84"/>
        <item x="269"/>
        <item x="135"/>
        <item x="476"/>
        <item x="125"/>
        <item x="233"/>
        <item x="494"/>
        <item x="335"/>
        <item x="412"/>
        <item x="257"/>
        <item x="134"/>
        <item x="199"/>
        <item x="333"/>
        <item x="122"/>
        <item x="241"/>
        <item x="16"/>
        <item x="484"/>
        <item x="357"/>
        <item x="228"/>
        <item x="102"/>
        <item x="490"/>
        <item x="170"/>
        <item x="486"/>
        <item x="349"/>
        <item x="343"/>
        <item x="450"/>
        <item x="76"/>
        <item x="13"/>
        <item x="58"/>
        <item x="270"/>
        <item x="142"/>
        <item x="41"/>
        <item x="232"/>
        <item x="168"/>
        <item x="205"/>
        <item x="278"/>
        <item x="133"/>
        <item x="398"/>
        <item x="62"/>
        <item x="1"/>
        <item x="94"/>
        <item x="191"/>
        <item x="462"/>
        <item x="220"/>
        <item x="226"/>
        <item x="390"/>
        <item x="23"/>
        <item x="178"/>
        <item x="315"/>
        <item x="2"/>
        <item x="310"/>
        <item x="408"/>
        <item x="286"/>
        <item x="223"/>
        <item x="261"/>
        <item x="457"/>
        <item x="370"/>
        <item x="49"/>
        <item x="129"/>
        <item x="297"/>
        <item x="251"/>
        <item x="388"/>
        <item x="231"/>
        <item x="495"/>
        <item x="477"/>
        <item x="306"/>
        <item x="469"/>
        <item x="130"/>
        <item x="448"/>
        <item x="5"/>
        <item x="194"/>
        <item x="35"/>
        <item x="299"/>
        <item x="176"/>
        <item x="197"/>
        <item x="182"/>
        <item x="206"/>
        <item x="119"/>
        <item x="365"/>
        <item x="456"/>
        <item x="488"/>
        <item x="181"/>
        <item x="442"/>
        <item x="235"/>
        <item x="236"/>
        <item x="208"/>
        <item x="396"/>
        <item x="287"/>
        <item x="70"/>
        <item x="64"/>
        <item x="112"/>
        <item x="491"/>
        <item x="347"/>
        <item x="80"/>
        <item x="186"/>
        <item x="45"/>
        <item x="246"/>
        <item x="29"/>
        <item x="350"/>
        <item x="312"/>
        <item x="90"/>
        <item x="221"/>
        <item x="132"/>
        <item x="379"/>
        <item x="169"/>
        <item x="285"/>
        <item x="304"/>
        <item x="375"/>
        <item x="345"/>
        <item x="414"/>
        <item x="437"/>
        <item x="290"/>
        <item x="144"/>
        <item x="431"/>
        <item x="139"/>
        <item x="248"/>
        <item x="439"/>
        <item x="146"/>
        <item x="43"/>
        <item x="356"/>
        <item x="351"/>
        <item x="95"/>
        <item x="295"/>
        <item x="276"/>
        <item x="56"/>
        <item x="74"/>
        <item x="400"/>
        <item x="104"/>
        <item x="37"/>
        <item x="309"/>
        <item x="120"/>
        <item x="86"/>
        <item x="249"/>
        <item x="426"/>
        <item x="15"/>
        <item x="291"/>
        <item x="300"/>
        <item x="386"/>
        <item x="8"/>
        <item x="423"/>
        <item x="48"/>
        <item x="441"/>
        <item x="468"/>
        <item x="305"/>
        <item x="435"/>
        <item x="124"/>
        <item x="159"/>
        <item x="75"/>
        <item x="32"/>
        <item x="26"/>
        <item x="51"/>
        <item x="97"/>
        <item x="209"/>
        <item x="172"/>
        <item x="362"/>
        <item x="250"/>
        <item x="88"/>
        <item x="332"/>
        <item x="387"/>
        <item x="63"/>
        <item x="326"/>
        <item x="190"/>
        <item x="443"/>
        <item x="313"/>
        <item x="338"/>
        <item x="184"/>
        <item x="485"/>
        <item x="192"/>
        <item x="66"/>
        <item x="18"/>
        <item x="384"/>
        <item x="410"/>
        <item x="240"/>
        <item x="214"/>
        <item x="460"/>
        <item x="117"/>
        <item x="337"/>
        <item x="150"/>
        <item x="329"/>
        <item x="10"/>
        <item x="264"/>
        <item x="121"/>
        <item x="21"/>
        <item x="461"/>
        <item x="98"/>
        <item x="196"/>
        <item x="363"/>
        <item x="83"/>
        <item x="440"/>
        <item x="229"/>
        <item x="107"/>
        <item x="92"/>
        <item x="489"/>
        <item x="430"/>
        <item x="136"/>
        <item x="452"/>
        <item x="166"/>
        <item x="432"/>
        <item x="187"/>
        <item x="17"/>
        <item x="175"/>
        <item x="252"/>
        <item x="195"/>
        <item x="79"/>
        <item x="3"/>
        <item x="14"/>
        <item x="126"/>
        <item x="118"/>
        <item x="340"/>
        <item x="446"/>
        <item x="366"/>
        <item x="406"/>
        <item x="260"/>
        <item x="487"/>
        <item x="115"/>
        <item x="318"/>
        <item x="152"/>
        <item x="464"/>
        <item x="376"/>
        <item x="455"/>
        <item x="19"/>
        <item x="272"/>
        <item x="394"/>
        <item x="425"/>
        <item x="458"/>
        <item x="137"/>
        <item x="281"/>
        <item x="471"/>
        <item x="53"/>
        <item x="424"/>
        <item x="403"/>
        <item x="346"/>
        <item x="479"/>
        <item x="259"/>
        <item x="478"/>
        <item x="444"/>
        <item x="160"/>
        <item x="493"/>
        <item x="78"/>
        <item x="237"/>
        <item x="401"/>
        <item x="201"/>
        <item x="105"/>
        <item x="42"/>
        <item x="327"/>
        <item x="413"/>
        <item x="409"/>
        <item x="482"/>
        <item x="216"/>
        <item x="202"/>
        <item x="374"/>
        <item x="421"/>
        <item x="155"/>
        <item x="470"/>
        <item x="77"/>
        <item x="245"/>
        <item x="145"/>
        <item x="143"/>
        <item x="38"/>
        <item x="200"/>
        <item x="215"/>
        <item x="342"/>
        <item x="253"/>
        <item x="161"/>
        <item x="279"/>
        <item x="418"/>
        <item x="498"/>
        <item x="322"/>
        <item x="24"/>
        <item x="265"/>
        <item x="9"/>
        <item x="238"/>
        <item x="47"/>
        <item x="336"/>
        <item x="298"/>
        <item x="496"/>
        <item x="164"/>
        <item x="355"/>
        <item x="158"/>
        <item x="33"/>
        <item x="131"/>
        <item x="348"/>
        <item x="60"/>
        <item x="22"/>
        <item x="277"/>
        <item x="72"/>
        <item x="138"/>
        <item x="266"/>
        <item x="4"/>
        <item x="154"/>
        <item x="96"/>
        <item x="180"/>
        <item x="91"/>
        <item x="359"/>
        <item x="204"/>
        <item x="319"/>
        <item x="325"/>
        <item x="20"/>
        <item x="317"/>
        <item x="320"/>
        <item x="262"/>
        <item x="227"/>
        <item x="173"/>
        <item x="39"/>
        <item x="12"/>
        <item x="222"/>
        <item x="44"/>
        <item x="385"/>
        <item x="395"/>
        <item x="234"/>
        <item x="307"/>
        <item x="230"/>
        <item x="474"/>
        <item x="147"/>
        <item x="341"/>
        <item x="100"/>
        <item x="451"/>
        <item x="405"/>
        <item x="210"/>
        <item x="27"/>
        <item x="422"/>
        <item x="415"/>
        <item x="289"/>
        <item x="284"/>
        <item x="239"/>
        <item x="69"/>
        <item x="193"/>
        <item x="103"/>
        <item x="436"/>
        <item x="271"/>
        <item x="156"/>
        <item x="162"/>
        <item x="480"/>
        <item x="174"/>
        <item x="167"/>
        <item x="275"/>
        <item x="389"/>
        <item x="52"/>
        <item x="308"/>
        <item x="472"/>
        <item x="212"/>
        <item x="392"/>
        <item x="381"/>
        <item x="36"/>
        <item x="50"/>
        <item x="54"/>
        <item x="344"/>
        <item x="361"/>
        <item x="89"/>
        <item x="303"/>
        <item x="153"/>
        <item x="419"/>
        <item x="358"/>
        <item x="55"/>
        <item x="334"/>
        <item x="40"/>
        <item x="0"/>
        <item x="101"/>
        <item x="417"/>
        <item x="372"/>
        <item x="244"/>
        <item x="454"/>
        <item x="179"/>
        <item x="148"/>
        <item x="339"/>
        <item x="73"/>
        <item x="34"/>
        <item x="218"/>
        <item x="123"/>
        <item x="57"/>
        <item x="59"/>
        <item x="106"/>
        <item x="99"/>
        <item x="71"/>
        <item x="483"/>
        <item x="242"/>
        <item x="243"/>
        <item x="263"/>
        <item x="428"/>
        <item x="108"/>
        <item x="151"/>
        <item x="294"/>
        <item x="323"/>
        <item x="330"/>
        <item x="397"/>
        <item x="207"/>
        <item x="302"/>
        <item x="368"/>
        <item x="128"/>
        <item x="364"/>
        <item x="404"/>
        <item x="141"/>
        <item x="371"/>
        <item x="274"/>
        <item x="267"/>
        <item x="67"/>
        <item x="165"/>
        <item x="399"/>
        <item x="492"/>
        <item x="433"/>
        <item x="25"/>
        <item x="114"/>
        <item x="280"/>
        <item x="380"/>
        <item x="149"/>
        <item x="354"/>
        <item x="475"/>
        <item x="473"/>
        <item x="466"/>
        <item x="438"/>
        <item x="268"/>
        <item x="314"/>
        <item x="256"/>
        <item x="411"/>
        <item x="445"/>
        <item x="87"/>
        <item x="427"/>
        <item x="321"/>
        <item x="391"/>
        <item x="434"/>
        <item x="157"/>
        <item x="213"/>
        <item t="default"/>
      </items>
    </pivotField>
    <pivotField axis="axisRow" showAll="0" sortType="ascending">
      <items count="5">
        <item x="2"/>
        <item x="3"/>
        <item x="0"/>
        <item x="1"/>
        <item t="default"/>
      </items>
    </pivotField>
    <pivotField showAll="0">
      <items count="7">
        <item x="3"/>
        <item x="2"/>
        <item x="0"/>
        <item x="1"/>
        <item x="5"/>
        <item x="4"/>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Total_Sale" fld="7" baseField="2" baseItem="0" numFmtId="2"/>
  </dataFields>
  <formats count="13">
    <format dxfId="25">
      <pivotArea outline="0" collapsedLevelsAreSubtotals="1"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0995B1-EF9A-4199-8F2E-D7CA612E7F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5:B28" firstHeaderRow="1" firstDataRow="1" firstDataCol="1"/>
  <pivotFields count="12">
    <pivotField axis="axisRow" numFmtId="164" showAll="0">
      <items count="268">
        <item x="138"/>
        <item x="254"/>
        <item x="244"/>
        <item x="63"/>
        <item x="253"/>
        <item x="119"/>
        <item x="264"/>
        <item x="230"/>
        <item x="27"/>
        <item x="207"/>
        <item x="31"/>
        <item x="250"/>
        <item x="99"/>
        <item x="262"/>
        <item x="211"/>
        <item x="182"/>
        <item x="233"/>
        <item x="98"/>
        <item x="40"/>
        <item x="116"/>
        <item x="172"/>
        <item x="130"/>
        <item x="23"/>
        <item x="107"/>
        <item x="144"/>
        <item x="255"/>
        <item x="91"/>
        <item x="247"/>
        <item x="77"/>
        <item x="10"/>
        <item x="171"/>
        <item x="35"/>
        <item x="149"/>
        <item x="146"/>
        <item x="49"/>
        <item x="209"/>
        <item x="93"/>
        <item x="200"/>
        <item x="117"/>
        <item x="141"/>
        <item x="188"/>
        <item x="143"/>
        <item x="36"/>
        <item x="84"/>
        <item x="80"/>
        <item x="33"/>
        <item x="110"/>
        <item x="66"/>
        <item x="125"/>
        <item x="133"/>
        <item x="21"/>
        <item x="166"/>
        <item x="148"/>
        <item x="131"/>
        <item x="232"/>
        <item x="68"/>
        <item x="218"/>
        <item x="38"/>
        <item x="15"/>
        <item x="73"/>
        <item x="97"/>
        <item x="134"/>
        <item x="160"/>
        <item x="2"/>
        <item x="161"/>
        <item x="25"/>
        <item x="155"/>
        <item x="152"/>
        <item x="75"/>
        <item x="142"/>
        <item x="157"/>
        <item x="92"/>
        <item x="78"/>
        <item x="132"/>
        <item x="191"/>
        <item x="43"/>
        <item x="194"/>
        <item x="151"/>
        <item x="174"/>
        <item x="186"/>
        <item x="249"/>
        <item x="265"/>
        <item x="202"/>
        <item x="214"/>
        <item x="85"/>
        <item x="103"/>
        <item x="50"/>
        <item x="251"/>
        <item x="64"/>
        <item x="189"/>
        <item x="248"/>
        <item x="53"/>
        <item x="216"/>
        <item x="245"/>
        <item x="168"/>
        <item x="121"/>
        <item x="122"/>
        <item x="159"/>
        <item x="47"/>
        <item x="219"/>
        <item x="55"/>
        <item x="19"/>
        <item x="263"/>
        <item x="196"/>
        <item x="56"/>
        <item x="215"/>
        <item x="76"/>
        <item x="52"/>
        <item x="12"/>
        <item x="18"/>
        <item x="7"/>
        <item x="115"/>
        <item x="197"/>
        <item x="62"/>
        <item x="206"/>
        <item x="109"/>
        <item x="217"/>
        <item x="178"/>
        <item x="136"/>
        <item x="177"/>
        <item x="51"/>
        <item x="154"/>
        <item x="164"/>
        <item x="4"/>
        <item x="29"/>
        <item x="127"/>
        <item x="57"/>
        <item x="120"/>
        <item x="22"/>
        <item x="204"/>
        <item x="179"/>
        <item x="16"/>
        <item x="240"/>
        <item x="128"/>
        <item x="140"/>
        <item x="112"/>
        <item x="14"/>
        <item x="236"/>
        <item x="139"/>
        <item x="90"/>
        <item x="26"/>
        <item x="58"/>
        <item x="184"/>
        <item x="165"/>
        <item x="111"/>
        <item x="0"/>
        <item x="59"/>
        <item x="243"/>
        <item x="261"/>
        <item x="181"/>
        <item x="220"/>
        <item x="135"/>
        <item x="225"/>
        <item x="65"/>
        <item x="208"/>
        <item x="227"/>
        <item x="257"/>
        <item x="129"/>
        <item x="175"/>
        <item x="89"/>
        <item x="106"/>
        <item x="108"/>
        <item x="28"/>
        <item x="32"/>
        <item x="1"/>
        <item x="60"/>
        <item x="235"/>
        <item x="237"/>
        <item x="45"/>
        <item x="147"/>
        <item x="176"/>
        <item x="72"/>
        <item x="96"/>
        <item x="180"/>
        <item x="150"/>
        <item x="167"/>
        <item x="82"/>
        <item x="226"/>
        <item x="241"/>
        <item x="187"/>
        <item x="201"/>
        <item x="87"/>
        <item x="205"/>
        <item x="193"/>
        <item x="100"/>
        <item x="238"/>
        <item x="156"/>
        <item x="137"/>
        <item x="61"/>
        <item x="113"/>
        <item x="114"/>
        <item x="212"/>
        <item x="258"/>
        <item x="222"/>
        <item x="162"/>
        <item x="54"/>
        <item x="228"/>
        <item x="83"/>
        <item x="169"/>
        <item x="67"/>
        <item x="39"/>
        <item x="88"/>
        <item x="102"/>
        <item x="185"/>
        <item x="42"/>
        <item x="3"/>
        <item x="34"/>
        <item x="5"/>
        <item x="224"/>
        <item x="6"/>
        <item x="124"/>
        <item x="195"/>
        <item x="13"/>
        <item x="20"/>
        <item x="266"/>
        <item x="231"/>
        <item x="210"/>
        <item x="41"/>
        <item x="71"/>
        <item x="242"/>
        <item x="95"/>
        <item x="239"/>
        <item x="46"/>
        <item x="260"/>
        <item x="192"/>
        <item x="198"/>
        <item x="190"/>
        <item x="30"/>
        <item x="183"/>
        <item x="69"/>
        <item x="213"/>
        <item x="44"/>
        <item x="37"/>
        <item x="9"/>
        <item x="221"/>
        <item x="256"/>
        <item x="163"/>
        <item x="173"/>
        <item x="104"/>
        <item x="199"/>
        <item x="48"/>
        <item x="101"/>
        <item x="252"/>
        <item x="79"/>
        <item x="153"/>
        <item x="11"/>
        <item x="70"/>
        <item x="259"/>
        <item x="8"/>
        <item x="158"/>
        <item x="234"/>
        <item x="118"/>
        <item x="24"/>
        <item x="223"/>
        <item x="229"/>
        <item x="81"/>
        <item x="145"/>
        <item x="86"/>
        <item x="126"/>
        <item x="246"/>
        <item x="74"/>
        <item x="17"/>
        <item x="94"/>
        <item x="123"/>
        <item x="203"/>
        <item x="105"/>
        <item x="170"/>
        <item t="default"/>
      </items>
    </pivotField>
    <pivotField showAll="0"/>
    <pivotField showAll="0">
      <items count="5">
        <item x="2"/>
        <item x="3"/>
        <item x="0"/>
        <item x="1"/>
        <item t="default"/>
      </items>
    </pivotField>
    <pivotField showAll="0">
      <items count="7">
        <item x="3"/>
        <item x="2"/>
        <item x="0"/>
        <item x="1"/>
        <item x="5"/>
        <item x="4"/>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1"/>
    <field x="10"/>
    <field x="9"/>
    <field x="0"/>
  </rowFields>
  <rowItems count="3">
    <i>
      <x v="1"/>
    </i>
    <i>
      <x v="2"/>
    </i>
    <i t="grand">
      <x/>
    </i>
  </rowItems>
  <colItems count="1">
    <i/>
  </colItems>
  <dataFields count="1">
    <dataField name="Sum of profit" fld="8" baseField="0" baseItem="0"/>
  </dataFields>
  <formats count="6">
    <format dxfId="31">
      <pivotArea type="all" dataOnly="0" outline="0" fieldPosition="0"/>
    </format>
    <format dxfId="30">
      <pivotArea outline="0" collapsedLevelsAreSubtotals="1" fieldPosition="0"/>
    </format>
    <format dxfId="29">
      <pivotArea field="11" type="button" dataOnly="0" labelOnly="1" outline="0" axis="axisRow" fieldPosition="0"/>
    </format>
    <format dxfId="28">
      <pivotArea dataOnly="0" labelOnly="1" fieldPosition="0">
        <references count="1">
          <reference field="11" count="2">
            <x v="1"/>
            <x v="2"/>
          </reference>
        </references>
      </pivotArea>
    </format>
    <format dxfId="27">
      <pivotArea dataOnly="0" labelOnly="1" grandRow="1" outline="0" fieldPosition="0"/>
    </format>
    <format dxfId="2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1" count="1" selected="0">
            <x v="1"/>
          </reference>
        </references>
      </pivotArea>
    </chartFormat>
    <chartFormat chart="6" format="3">
      <pivotArea type="data" outline="0" fieldPosition="0">
        <references count="2">
          <reference field="4294967294" count="1" selected="0">
            <x v="0"/>
          </reference>
          <reference field="11"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1" count="1" selected="0">
            <x v="1"/>
          </reference>
        </references>
      </pivotArea>
    </chartFormat>
    <chartFormat chart="7" format="6">
      <pivotArea type="data" outline="0" fieldPosition="0">
        <references count="2">
          <reference field="4294967294" count="1" selected="0">
            <x v="0"/>
          </reference>
          <reference field="11" count="1" selected="0">
            <x v="2"/>
          </reference>
        </references>
      </pivotArea>
    </chartFormat>
    <chartFormat chart="2" format="1">
      <pivotArea type="data" outline="0" fieldPosition="0">
        <references count="2">
          <reference field="4294967294" count="1" selected="0">
            <x v="0"/>
          </reference>
          <reference field="11" count="1" selected="0">
            <x v="1"/>
          </reference>
        </references>
      </pivotArea>
    </chartFormat>
    <chartFormat chart="2" format="2">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11" count="1" selected="0">
            <x v="1"/>
          </reference>
        </references>
      </pivotArea>
    </chartFormat>
    <chartFormat chart="8" format="5">
      <pivotArea type="data" outline="0" fieldPosition="0">
        <references count="2">
          <reference field="4294967294" count="1" selected="0">
            <x v="0"/>
          </reference>
          <reference field="11"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1" count="1" selected="0">
            <x v="1"/>
          </reference>
        </references>
      </pivotArea>
    </chartFormat>
    <chartFormat chart="11" format="12">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05CE81-621F-48E8-BADB-5236572F07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K24" firstHeaderRow="0" firstDataRow="1" firstDataCol="1"/>
  <pivotFields count="12">
    <pivotField numFmtId="164" showAll="0">
      <items count="268">
        <item x="138"/>
        <item x="254"/>
        <item x="244"/>
        <item x="63"/>
        <item x="253"/>
        <item x="119"/>
        <item x="264"/>
        <item x="230"/>
        <item x="27"/>
        <item x="207"/>
        <item x="31"/>
        <item x="250"/>
        <item x="99"/>
        <item x="262"/>
        <item x="211"/>
        <item x="182"/>
        <item x="233"/>
        <item x="98"/>
        <item x="40"/>
        <item x="116"/>
        <item x="172"/>
        <item x="130"/>
        <item x="23"/>
        <item x="107"/>
        <item x="144"/>
        <item x="255"/>
        <item x="91"/>
        <item x="247"/>
        <item x="77"/>
        <item x="10"/>
        <item x="171"/>
        <item x="35"/>
        <item x="149"/>
        <item x="146"/>
        <item x="49"/>
        <item x="209"/>
        <item x="93"/>
        <item x="200"/>
        <item x="117"/>
        <item x="141"/>
        <item x="188"/>
        <item x="143"/>
        <item x="36"/>
        <item x="84"/>
        <item x="80"/>
        <item x="33"/>
        <item x="110"/>
        <item x="66"/>
        <item x="125"/>
        <item x="133"/>
        <item x="21"/>
        <item x="166"/>
        <item x="148"/>
        <item x="131"/>
        <item x="232"/>
        <item x="68"/>
        <item x="218"/>
        <item x="38"/>
        <item x="15"/>
        <item x="73"/>
        <item x="97"/>
        <item x="134"/>
        <item x="160"/>
        <item x="2"/>
        <item x="161"/>
        <item x="25"/>
        <item x="155"/>
        <item x="152"/>
        <item x="75"/>
        <item x="142"/>
        <item x="157"/>
        <item x="92"/>
        <item x="78"/>
        <item x="132"/>
        <item x="191"/>
        <item x="43"/>
        <item x="194"/>
        <item x="151"/>
        <item x="174"/>
        <item x="186"/>
        <item x="249"/>
        <item x="265"/>
        <item x="202"/>
        <item x="214"/>
        <item x="85"/>
        <item x="103"/>
        <item x="50"/>
        <item x="251"/>
        <item x="64"/>
        <item x="189"/>
        <item x="248"/>
        <item x="53"/>
        <item x="216"/>
        <item x="245"/>
        <item x="168"/>
        <item x="121"/>
        <item x="122"/>
        <item x="159"/>
        <item x="47"/>
        <item x="219"/>
        <item x="55"/>
        <item x="19"/>
        <item x="263"/>
        <item x="196"/>
        <item x="56"/>
        <item x="215"/>
        <item x="76"/>
        <item x="52"/>
        <item x="12"/>
        <item x="18"/>
        <item x="7"/>
        <item x="115"/>
        <item x="197"/>
        <item x="62"/>
        <item x="206"/>
        <item x="109"/>
        <item x="217"/>
        <item x="178"/>
        <item x="136"/>
        <item x="177"/>
        <item x="51"/>
        <item x="154"/>
        <item x="164"/>
        <item x="4"/>
        <item x="29"/>
        <item x="127"/>
        <item x="57"/>
        <item x="120"/>
        <item x="22"/>
        <item x="204"/>
        <item x="179"/>
        <item x="16"/>
        <item x="240"/>
        <item x="128"/>
        <item x="140"/>
        <item x="112"/>
        <item x="14"/>
        <item x="236"/>
        <item x="139"/>
        <item x="90"/>
        <item x="26"/>
        <item x="58"/>
        <item x="184"/>
        <item x="165"/>
        <item x="111"/>
        <item x="0"/>
        <item x="59"/>
        <item x="243"/>
        <item x="261"/>
        <item x="181"/>
        <item x="220"/>
        <item x="135"/>
        <item x="225"/>
        <item x="65"/>
        <item x="208"/>
        <item x="227"/>
        <item x="257"/>
        <item x="129"/>
        <item x="175"/>
        <item x="89"/>
        <item x="106"/>
        <item x="108"/>
        <item x="28"/>
        <item x="32"/>
        <item x="1"/>
        <item x="60"/>
        <item x="235"/>
        <item x="237"/>
        <item x="45"/>
        <item x="147"/>
        <item x="176"/>
        <item x="72"/>
        <item x="96"/>
        <item x="180"/>
        <item x="150"/>
        <item x="167"/>
        <item x="82"/>
        <item x="226"/>
        <item x="241"/>
        <item x="187"/>
        <item x="201"/>
        <item x="87"/>
        <item x="205"/>
        <item x="193"/>
        <item x="100"/>
        <item x="238"/>
        <item x="156"/>
        <item x="137"/>
        <item x="61"/>
        <item x="113"/>
        <item x="114"/>
        <item x="212"/>
        <item x="258"/>
        <item x="222"/>
        <item x="162"/>
        <item x="54"/>
        <item x="228"/>
        <item x="83"/>
        <item x="169"/>
        <item x="67"/>
        <item x="39"/>
        <item x="88"/>
        <item x="102"/>
        <item x="185"/>
        <item x="42"/>
        <item x="3"/>
        <item x="34"/>
        <item x="5"/>
        <item x="224"/>
        <item x="6"/>
        <item x="124"/>
        <item x="195"/>
        <item x="13"/>
        <item x="20"/>
        <item x="266"/>
        <item x="231"/>
        <item x="210"/>
        <item x="41"/>
        <item x="71"/>
        <item x="242"/>
        <item x="95"/>
        <item x="239"/>
        <item x="46"/>
        <item x="260"/>
        <item x="192"/>
        <item x="198"/>
        <item x="190"/>
        <item x="30"/>
        <item x="183"/>
        <item x="69"/>
        <item x="213"/>
        <item x="44"/>
        <item x="37"/>
        <item x="9"/>
        <item x="221"/>
        <item x="256"/>
        <item x="163"/>
        <item x="173"/>
        <item x="104"/>
        <item x="199"/>
        <item x="48"/>
        <item x="101"/>
        <item x="252"/>
        <item x="79"/>
        <item x="153"/>
        <item x="11"/>
        <item x="70"/>
        <item x="259"/>
        <item x="8"/>
        <item x="158"/>
        <item x="234"/>
        <item x="118"/>
        <item x="24"/>
        <item x="223"/>
        <item x="229"/>
        <item x="81"/>
        <item x="145"/>
        <item x="86"/>
        <item x="126"/>
        <item x="246"/>
        <item x="74"/>
        <item x="17"/>
        <item x="94"/>
        <item x="123"/>
        <item x="203"/>
        <item x="105"/>
        <item x="170"/>
        <item t="default"/>
      </items>
    </pivotField>
    <pivotField showAll="0"/>
    <pivotField showAll="0">
      <items count="5">
        <item x="2"/>
        <item x="3"/>
        <item x="0"/>
        <item x="1"/>
        <item t="default"/>
      </items>
    </pivotField>
    <pivotField showAll="0">
      <items count="7">
        <item x="3"/>
        <item x="2"/>
        <item x="0"/>
        <item x="1"/>
        <item x="5"/>
        <item x="4"/>
        <item t="default"/>
      </items>
    </pivotField>
    <pivotField axis="axisRow" showAll="0">
      <items count="21">
        <item x="17"/>
        <item x="9"/>
        <item x="5"/>
        <item x="18"/>
        <item x="1"/>
        <item x="6"/>
        <item x="3"/>
        <item x="12"/>
        <item x="19"/>
        <item x="16"/>
        <item x="7"/>
        <item x="10"/>
        <item x="11"/>
        <item x="8"/>
        <item x="4"/>
        <item x="0"/>
        <item x="14"/>
        <item x="15"/>
        <item x="13"/>
        <item x="2"/>
        <item t="default"/>
      </items>
    </pivotField>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otal_Sale" fld="7" baseField="0" baseItem="0"/>
    <dataField name="Sum of profit" fld="8" baseField="0" baseItem="0"/>
  </dataFields>
  <formats count="6">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s>
  <chartFormats count="8">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AB06632-C0F4-4EBC-8471-F46A95B865AB}" sourceName="Sales_Person">
  <pivotTables>
    <pivotTable tabId="2" name="PivotTable1"/>
  </pivotTables>
  <data>
    <tabular pivotCacheId="51653916">
      <items count="499">
        <i x="116" s="1"/>
        <i x="217" s="1"/>
        <i x="353" s="1"/>
        <i x="258" s="1"/>
        <i x="247" s="1"/>
        <i x="367" s="1"/>
        <i x="185" s="1"/>
        <i x="416" s="1"/>
        <i x="465" s="1"/>
        <i x="81" s="1"/>
        <i x="113" s="1"/>
        <i x="30" s="1"/>
        <i x="283" s="1"/>
        <i x="296" s="1"/>
        <i x="28" s="1"/>
        <i x="373" s="1"/>
        <i x="377" s="1"/>
        <i x="171" s="1"/>
        <i x="316" s="1"/>
        <i x="273" s="1"/>
        <i x="219" s="1"/>
        <i x="459" s="1"/>
        <i x="68" s="1"/>
        <i x="402" s="1"/>
        <i x="183" s="1"/>
        <i x="369" s="1"/>
        <i x="46" s="1"/>
        <i x="497" s="1"/>
        <i x="360" s="1"/>
        <i x="189" s="1"/>
        <i x="324" s="1"/>
        <i x="111" s="1"/>
        <i x="311" s="1"/>
        <i x="378" s="1"/>
        <i x="447" s="1"/>
        <i x="31" s="1"/>
        <i x="352" s="1"/>
        <i x="449" s="1"/>
        <i x="301" s="1"/>
        <i x="127" s="1"/>
        <i x="328" s="1"/>
        <i x="429" s="1"/>
        <i x="225" s="1"/>
        <i x="82" s="1"/>
        <i x="382" s="1"/>
        <i x="65" s="1"/>
        <i x="198" s="1"/>
        <i x="61" s="1"/>
        <i x="211" s="1"/>
        <i x="254" s="1"/>
        <i x="481" s="1"/>
        <i x="393" s="1"/>
        <i x="255" s="1"/>
        <i x="420" s="1"/>
        <i x="110" s="1"/>
        <i x="383" s="1"/>
        <i x="407" s="1"/>
        <i x="188" s="1"/>
        <i x="163" s="1"/>
        <i x="140" s="1"/>
        <i x="11" s="1"/>
        <i x="6" s="1"/>
        <i x="463" s="1"/>
        <i x="331" s="1"/>
        <i x="109" s="1"/>
        <i x="224" s="1"/>
        <i x="282" s="1"/>
        <i x="85" s="1"/>
        <i x="203" s="1"/>
        <i x="288" s="1"/>
        <i x="93" s="1"/>
        <i x="177" s="1"/>
        <i x="293" s="1"/>
        <i x="292" s="1"/>
        <i x="467" s="1"/>
        <i x="7" s="1"/>
        <i x="453" s="1"/>
        <i x="84" s="1"/>
        <i x="269" s="1"/>
        <i x="135" s="1"/>
        <i x="476" s="1"/>
        <i x="125" s="1"/>
        <i x="233" s="1"/>
        <i x="494" s="1"/>
        <i x="335" s="1"/>
        <i x="412" s="1"/>
        <i x="257" s="1"/>
        <i x="134" s="1"/>
        <i x="199" s="1"/>
        <i x="333" s="1"/>
        <i x="122" s="1"/>
        <i x="241" s="1"/>
        <i x="16" s="1"/>
        <i x="484" s="1"/>
        <i x="357" s="1"/>
        <i x="228" s="1"/>
        <i x="102" s="1"/>
        <i x="490" s="1"/>
        <i x="170" s="1"/>
        <i x="486" s="1"/>
        <i x="349" s="1"/>
        <i x="343" s="1"/>
        <i x="450" s="1"/>
        <i x="76" s="1"/>
        <i x="13" s="1"/>
        <i x="58" s="1"/>
        <i x="270" s="1"/>
        <i x="142" s="1"/>
        <i x="41" s="1"/>
        <i x="232" s="1"/>
        <i x="168" s="1"/>
        <i x="205" s="1"/>
        <i x="278" s="1"/>
        <i x="133" s="1"/>
        <i x="398" s="1"/>
        <i x="62" s="1"/>
        <i x="1" s="1"/>
        <i x="94" s="1"/>
        <i x="191" s="1"/>
        <i x="462" s="1"/>
        <i x="220" s="1"/>
        <i x="226" s="1"/>
        <i x="390" s="1"/>
        <i x="23" s="1"/>
        <i x="178" s="1"/>
        <i x="315" s="1"/>
        <i x="2" s="1"/>
        <i x="310" s="1"/>
        <i x="408" s="1"/>
        <i x="286" s="1"/>
        <i x="223" s="1"/>
        <i x="261" s="1"/>
        <i x="457" s="1"/>
        <i x="370" s="1"/>
        <i x="49" s="1"/>
        <i x="129" s="1"/>
        <i x="297" s="1"/>
        <i x="251" s="1"/>
        <i x="388" s="1"/>
        <i x="231" s="1"/>
        <i x="495" s="1"/>
        <i x="477" s="1"/>
        <i x="306" s="1"/>
        <i x="469" s="1"/>
        <i x="130" s="1"/>
        <i x="448" s="1"/>
        <i x="5" s="1"/>
        <i x="194" s="1"/>
        <i x="35" s="1"/>
        <i x="299" s="1"/>
        <i x="176" s="1"/>
        <i x="197" s="1"/>
        <i x="182" s="1"/>
        <i x="206" s="1"/>
        <i x="119" s="1"/>
        <i x="365" s="1"/>
        <i x="456" s="1"/>
        <i x="488" s="1"/>
        <i x="181" s="1"/>
        <i x="442" s="1"/>
        <i x="235" s="1"/>
        <i x="236" s="1"/>
        <i x="208" s="1"/>
        <i x="396" s="1"/>
        <i x="287" s="1"/>
        <i x="70" s="1"/>
        <i x="64" s="1"/>
        <i x="112" s="1"/>
        <i x="491" s="1"/>
        <i x="347" s="1"/>
        <i x="80" s="1"/>
        <i x="186" s="1"/>
        <i x="45" s="1"/>
        <i x="246" s="1"/>
        <i x="29" s="1"/>
        <i x="350" s="1"/>
        <i x="312" s="1"/>
        <i x="90" s="1"/>
        <i x="221" s="1"/>
        <i x="132" s="1"/>
        <i x="379" s="1"/>
        <i x="169" s="1"/>
        <i x="285" s="1"/>
        <i x="304" s="1"/>
        <i x="375" s="1"/>
        <i x="345" s="1"/>
        <i x="414" s="1"/>
        <i x="437" s="1"/>
        <i x="290" s="1"/>
        <i x="144" s="1"/>
        <i x="431" s="1"/>
        <i x="139" s="1"/>
        <i x="248" s="1"/>
        <i x="439" s="1"/>
        <i x="146" s="1"/>
        <i x="43" s="1"/>
        <i x="356" s="1"/>
        <i x="351" s="1"/>
        <i x="95" s="1"/>
        <i x="295" s="1"/>
        <i x="276" s="1"/>
        <i x="56" s="1"/>
        <i x="74" s="1"/>
        <i x="400" s="1"/>
        <i x="104" s="1"/>
        <i x="37" s="1"/>
        <i x="309" s="1"/>
        <i x="120" s="1"/>
        <i x="86" s="1"/>
        <i x="249" s="1"/>
        <i x="426" s="1"/>
        <i x="15" s="1"/>
        <i x="291" s="1"/>
        <i x="300" s="1"/>
        <i x="386" s="1"/>
        <i x="8" s="1"/>
        <i x="423" s="1"/>
        <i x="48" s="1"/>
        <i x="441" s="1"/>
        <i x="468" s="1"/>
        <i x="305" s="1"/>
        <i x="435" s="1"/>
        <i x="124" s="1"/>
        <i x="159" s="1"/>
        <i x="75" s="1"/>
        <i x="32" s="1"/>
        <i x="26" s="1"/>
        <i x="51" s="1"/>
        <i x="97" s="1"/>
        <i x="209" s="1"/>
        <i x="172" s="1"/>
        <i x="362" s="1"/>
        <i x="250" s="1"/>
        <i x="88" s="1"/>
        <i x="332" s="1"/>
        <i x="387" s="1"/>
        <i x="63" s="1"/>
        <i x="326" s="1"/>
        <i x="190" s="1"/>
        <i x="443" s="1"/>
        <i x="313" s="1"/>
        <i x="338" s="1"/>
        <i x="184" s="1"/>
        <i x="485" s="1"/>
        <i x="192" s="1"/>
        <i x="66" s="1"/>
        <i x="18" s="1"/>
        <i x="384" s="1"/>
        <i x="410" s="1"/>
        <i x="240" s="1"/>
        <i x="214" s="1"/>
        <i x="460" s="1"/>
        <i x="117" s="1"/>
        <i x="337" s="1"/>
        <i x="150" s="1"/>
        <i x="329" s="1"/>
        <i x="10" s="1"/>
        <i x="264" s="1"/>
        <i x="121" s="1"/>
        <i x="21" s="1"/>
        <i x="461" s="1"/>
        <i x="98" s="1"/>
        <i x="196" s="1"/>
        <i x="363" s="1"/>
        <i x="83" s="1"/>
        <i x="440" s="1"/>
        <i x="229" s="1"/>
        <i x="107" s="1"/>
        <i x="92" s="1"/>
        <i x="489" s="1"/>
        <i x="430" s="1"/>
        <i x="136" s="1"/>
        <i x="452" s="1"/>
        <i x="166" s="1"/>
        <i x="432" s="1"/>
        <i x="187" s="1"/>
        <i x="17" s="1"/>
        <i x="175" s="1"/>
        <i x="252" s="1"/>
        <i x="195" s="1"/>
        <i x="79" s="1"/>
        <i x="3" s="1"/>
        <i x="14" s="1"/>
        <i x="126" s="1"/>
        <i x="118" s="1"/>
        <i x="340" s="1"/>
        <i x="446" s="1"/>
        <i x="366" s="1"/>
        <i x="406" s="1"/>
        <i x="260" s="1"/>
        <i x="487" s="1"/>
        <i x="115" s="1"/>
        <i x="318" s="1"/>
        <i x="152" s="1"/>
        <i x="464" s="1"/>
        <i x="376" s="1"/>
        <i x="455" s="1"/>
        <i x="19" s="1"/>
        <i x="272" s="1"/>
        <i x="394" s="1"/>
        <i x="425" s="1"/>
        <i x="458" s="1"/>
        <i x="137" s="1"/>
        <i x="281" s="1"/>
        <i x="471" s="1"/>
        <i x="53" s="1"/>
        <i x="424" s="1"/>
        <i x="403" s="1"/>
        <i x="346" s="1"/>
        <i x="479" s="1"/>
        <i x="259" s="1"/>
        <i x="478" s="1"/>
        <i x="444" s="1"/>
        <i x="160" s="1"/>
        <i x="493" s="1"/>
        <i x="78" s="1"/>
        <i x="237" s="1"/>
        <i x="401" s="1"/>
        <i x="201" s="1"/>
        <i x="105" s="1"/>
        <i x="42" s="1"/>
        <i x="327" s="1"/>
        <i x="413" s="1"/>
        <i x="409" s="1"/>
        <i x="482" s="1"/>
        <i x="216" s="1"/>
        <i x="202" s="1"/>
        <i x="374" s="1"/>
        <i x="421" s="1"/>
        <i x="155" s="1"/>
        <i x="470" s="1"/>
        <i x="77" s="1"/>
        <i x="245" s="1"/>
        <i x="145" s="1"/>
        <i x="143" s="1"/>
        <i x="38" s="1"/>
        <i x="200" s="1"/>
        <i x="215" s="1"/>
        <i x="342" s="1"/>
        <i x="253" s="1"/>
        <i x="161" s="1"/>
        <i x="279" s="1"/>
        <i x="418" s="1"/>
        <i x="498" s="1"/>
        <i x="322" s="1"/>
        <i x="24" s="1"/>
        <i x="265" s="1"/>
        <i x="9" s="1"/>
        <i x="238" s="1"/>
        <i x="47" s="1"/>
        <i x="336" s="1"/>
        <i x="298" s="1"/>
        <i x="496" s="1"/>
        <i x="164" s="1"/>
        <i x="355" s="1"/>
        <i x="158" s="1"/>
        <i x="33" s="1"/>
        <i x="131" s="1"/>
        <i x="348" s="1"/>
        <i x="60" s="1"/>
        <i x="22" s="1"/>
        <i x="277" s="1"/>
        <i x="72" s="1"/>
        <i x="138" s="1"/>
        <i x="266" s="1"/>
        <i x="4" s="1"/>
        <i x="154" s="1"/>
        <i x="96" s="1"/>
        <i x="180" s="1"/>
        <i x="91" s="1"/>
        <i x="359" s="1"/>
        <i x="204" s="1"/>
        <i x="319" s="1"/>
        <i x="325" s="1"/>
        <i x="20" s="1"/>
        <i x="317" s="1"/>
        <i x="320" s="1"/>
        <i x="262" s="1"/>
        <i x="227" s="1"/>
        <i x="173" s="1"/>
        <i x="39" s="1"/>
        <i x="12" s="1"/>
        <i x="222" s="1"/>
        <i x="44" s="1"/>
        <i x="385" s="1"/>
        <i x="395" s="1"/>
        <i x="234" s="1"/>
        <i x="307" s="1"/>
        <i x="230" s="1"/>
        <i x="474" s="1"/>
        <i x="147" s="1"/>
        <i x="341" s="1"/>
        <i x="100" s="1"/>
        <i x="451" s="1"/>
        <i x="405" s="1"/>
        <i x="210" s="1"/>
        <i x="27" s="1"/>
        <i x="422" s="1"/>
        <i x="415" s="1"/>
        <i x="289" s="1"/>
        <i x="284" s="1"/>
        <i x="239" s="1"/>
        <i x="69" s="1"/>
        <i x="193" s="1"/>
        <i x="103" s="1"/>
        <i x="436" s="1"/>
        <i x="271" s="1"/>
        <i x="156" s="1"/>
        <i x="162" s="1"/>
        <i x="480" s="1"/>
        <i x="174" s="1"/>
        <i x="167" s="1"/>
        <i x="275" s="1"/>
        <i x="389" s="1"/>
        <i x="52" s="1"/>
        <i x="308" s="1"/>
        <i x="472" s="1"/>
        <i x="212" s="1"/>
        <i x="392" s="1"/>
        <i x="381" s="1"/>
        <i x="36" s="1"/>
        <i x="50" s="1"/>
        <i x="54" s="1"/>
        <i x="344" s="1"/>
        <i x="361" s="1"/>
        <i x="89" s="1"/>
        <i x="303" s="1"/>
        <i x="153" s="1"/>
        <i x="419" s="1"/>
        <i x="358" s="1"/>
        <i x="55" s="1"/>
        <i x="334" s="1"/>
        <i x="40" s="1"/>
        <i x="0" s="1"/>
        <i x="101" s="1"/>
        <i x="417" s="1"/>
        <i x="372" s="1"/>
        <i x="244" s="1"/>
        <i x="454" s="1"/>
        <i x="179" s="1"/>
        <i x="148" s="1"/>
        <i x="339" s="1"/>
        <i x="73" s="1"/>
        <i x="34" s="1"/>
        <i x="218" s="1"/>
        <i x="123" s="1"/>
        <i x="57" s="1"/>
        <i x="59" s="1"/>
        <i x="106" s="1"/>
        <i x="99" s="1"/>
        <i x="71" s="1"/>
        <i x="483" s="1"/>
        <i x="242" s="1"/>
        <i x="243" s="1"/>
        <i x="263" s="1"/>
        <i x="428" s="1"/>
        <i x="108" s="1"/>
        <i x="151" s="1"/>
        <i x="294" s="1"/>
        <i x="323" s="1"/>
        <i x="330" s="1"/>
        <i x="397" s="1"/>
        <i x="207" s="1"/>
        <i x="302" s="1"/>
        <i x="368" s="1"/>
        <i x="128" s="1"/>
        <i x="364" s="1"/>
        <i x="404" s="1"/>
        <i x="141" s="1"/>
        <i x="371" s="1"/>
        <i x="274" s="1"/>
        <i x="267" s="1"/>
        <i x="67" s="1"/>
        <i x="165" s="1"/>
        <i x="399" s="1"/>
        <i x="492" s="1"/>
        <i x="433" s="1"/>
        <i x="25" s="1"/>
        <i x="114" s="1"/>
        <i x="280" s="1"/>
        <i x="380" s="1"/>
        <i x="149" s="1"/>
        <i x="354" s="1"/>
        <i x="475" s="1"/>
        <i x="473" s="1"/>
        <i x="466" s="1"/>
        <i x="438" s="1"/>
        <i x="268" s="1"/>
        <i x="314" s="1"/>
        <i x="256" s="1"/>
        <i x="411" s="1"/>
        <i x="445" s="1"/>
        <i x="87" s="1"/>
        <i x="427" s="1"/>
        <i x="321" s="1"/>
        <i x="391" s="1"/>
        <i x="434" s="1"/>
        <i x="157" s="1"/>
        <i x="2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CDC5E1-3BA1-48C3-B3BD-2187C3E97E61}" sourceName="Region">
  <pivotTables>
    <pivotTable tabId="2" name="PivotTable1"/>
  </pivotTables>
  <data>
    <tabular pivotCacheId="51653916">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A485A2-E5D9-48F4-BED5-3460AB6C81F4}" sourceName="Product">
  <pivotTables>
    <pivotTable tabId="2" name="PivotTable1"/>
    <pivotTable tabId="2" name="PivotTable2"/>
    <pivotTable tabId="2" name="PivotTable3"/>
    <pivotTable tabId="2" name="PivotTable4"/>
    <pivotTable tabId="2" name="PivotTable7"/>
  </pivotTables>
  <data>
    <tabular pivotCacheId="51653916">
      <items count="6">
        <i x="3" s="1"/>
        <i x="2" s="1"/>
        <i x="0"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Person" xr10:uid="{A316CEC4-63C1-470E-9F3E-A219ACFFB39F}" cache="Slicer_Sales_Person" caption="Sales_Person" rowHeight="234950"/>
  <slicer name="Region" xr10:uid="{6AD72F1B-9342-4406-B1E8-DC8A0C425FAD}" cache="Slicer_Region" caption="Region" columnCount="2" showCaption="0" rowHeight="234950"/>
  <slicer name="Product" xr10:uid="{DBA5FC0E-B2DF-46BC-98A1-A6BC71C259C6}"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Person 1" xr10:uid="{7A85AE77-56AC-4AAF-AFEA-1D45C5ADA590}" cache="Slicer_Sales_Person" caption="Sales_Person" startItem="6" style="SlicerStyleDark1" rowHeight="234950"/>
  <slicer name="Region 1" xr10:uid="{0FC5C707-4ACA-4872-AF69-C62B778F2D66}" cache="Slicer_Region" caption="Region" columnCount="2" showCaption="0" style="SlicerStyleDark1" rowHeight="234950"/>
  <slicer name="Product 1" xr10:uid="{6487B35B-59BE-4AE4-9CAB-6616CE89DA61}" cache="Slicer_Product" caption="Produc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8F7C4-F7A8-4D9D-869C-40C5DF71503C}" name="Table1" displayName="Table1" ref="A1:I501" totalsRowShown="0" headerRowDxfId="39">
  <autoFilter ref="A1:I501" xr:uid="{BA88F7C4-F7A8-4D9D-869C-40C5DF71503C}"/>
  <tableColumns count="9">
    <tableColumn id="1" xr3:uid="{B63E1D40-9E04-4B94-B337-C0EA31EEDD30}" name="Date" dataDxfId="38"/>
    <tableColumn id="2" xr3:uid="{4595FB4B-FF3C-40D1-84B6-12E353B3F94F}" name="Sales_Person"/>
    <tableColumn id="3" xr3:uid="{A1EFED5E-5329-4085-A9F6-8B1036DB05D8}" name="Region"/>
    <tableColumn id="4" xr3:uid="{0BA7BE70-F2F9-434E-9104-5D3378A4A852}" name="Product"/>
    <tableColumn id="5" xr3:uid="{D7E9C345-F447-4B09-90DA-A244675F68CC}" name="Unit_Sold"/>
    <tableColumn id="6" xr3:uid="{3493AB13-2BC5-49D2-BBF8-7BA41920D9A3}" name="Unit_Price"/>
    <tableColumn id="7" xr3:uid="{5F2985D6-5103-4095-870D-909F548CC2D3}" name="Cost_Goods"/>
    <tableColumn id="8" xr3:uid="{AE6F1549-2309-487C-A008-6C6DCD14AD73}" name="Total_Sale"/>
    <tableColumn id="9" xr3:uid="{F40F1F41-7C12-4B26-9E57-7616A01C0C7B}" name="profit">
      <calculatedColumnFormula>H2-(G2*E2)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abSelected="1" workbookViewId="0">
      <selection activeCell="L21" sqref="L21"/>
    </sheetView>
  </sheetViews>
  <sheetFormatPr defaultRowHeight="14.4" x14ac:dyDescent="0.3"/>
  <cols>
    <col min="1" max="1" width="15.77734375" customWidth="1"/>
    <col min="2" max="2" width="18.6640625" customWidth="1"/>
    <col min="4" max="4" width="9.5546875" customWidth="1"/>
    <col min="5" max="5" width="11.109375" customWidth="1"/>
    <col min="6" max="6" width="14.44140625" customWidth="1"/>
    <col min="7" max="7" width="13.88671875" customWidth="1"/>
    <col min="8" max="8" width="15.88671875" customWidth="1"/>
    <col min="12" max="12" width="18.6640625" customWidth="1"/>
  </cols>
  <sheetData>
    <row r="1" spans="1:12" x14ac:dyDescent="0.3">
      <c r="A1" s="1" t="s">
        <v>0</v>
      </c>
      <c r="B1" s="1" t="s">
        <v>1</v>
      </c>
      <c r="C1" s="1" t="s">
        <v>2</v>
      </c>
      <c r="D1" s="1" t="s">
        <v>3</v>
      </c>
      <c r="E1" s="1" t="s">
        <v>4</v>
      </c>
      <c r="F1" s="1" t="s">
        <v>5</v>
      </c>
      <c r="G1" s="1" t="s">
        <v>6</v>
      </c>
      <c r="H1" s="1" t="s">
        <v>7</v>
      </c>
      <c r="I1" s="3" t="s">
        <v>517</v>
      </c>
    </row>
    <row r="2" spans="1:12" x14ac:dyDescent="0.3">
      <c r="A2" s="2">
        <v>45760</v>
      </c>
      <c r="B2" t="s">
        <v>8</v>
      </c>
      <c r="C2" t="s">
        <v>507</v>
      </c>
      <c r="D2" t="s">
        <v>511</v>
      </c>
      <c r="E2">
        <v>16</v>
      </c>
      <c r="F2">
        <v>334.78</v>
      </c>
      <c r="G2">
        <v>234.5</v>
      </c>
      <c r="H2">
        <v>5356.48</v>
      </c>
      <c r="I2">
        <f>H2-(G2*E2)</f>
        <v>1604.4799999999996</v>
      </c>
    </row>
    <row r="3" spans="1:12" x14ac:dyDescent="0.3">
      <c r="A3" s="2">
        <v>45787</v>
      </c>
      <c r="B3" t="s">
        <v>9</v>
      </c>
      <c r="C3" t="s">
        <v>508</v>
      </c>
      <c r="D3" t="s">
        <v>512</v>
      </c>
      <c r="E3">
        <v>5</v>
      </c>
      <c r="F3">
        <v>1514.23</v>
      </c>
      <c r="G3">
        <v>1058.1400000000001</v>
      </c>
      <c r="H3">
        <v>7571.15</v>
      </c>
      <c r="I3">
        <f t="shared" ref="I3:I66" si="0">H3-(G3*E3)</f>
        <v>2280.4499999999989</v>
      </c>
    </row>
    <row r="4" spans="1:12" x14ac:dyDescent="0.3">
      <c r="A4" s="2">
        <v>45640</v>
      </c>
      <c r="B4" t="s">
        <v>10</v>
      </c>
      <c r="C4" t="s">
        <v>507</v>
      </c>
      <c r="D4" t="s">
        <v>512</v>
      </c>
      <c r="E4">
        <v>20</v>
      </c>
      <c r="F4">
        <v>798.39</v>
      </c>
      <c r="G4">
        <v>629.51</v>
      </c>
      <c r="H4">
        <v>15967.8</v>
      </c>
      <c r="I4">
        <f t="shared" si="0"/>
        <v>3377.5999999999985</v>
      </c>
      <c r="L4" s="5" t="s">
        <v>518</v>
      </c>
    </row>
    <row r="5" spans="1:12" x14ac:dyDescent="0.3">
      <c r="A5" s="2">
        <v>45842</v>
      </c>
      <c r="B5" t="s">
        <v>11</v>
      </c>
      <c r="C5" t="s">
        <v>507</v>
      </c>
      <c r="D5" t="s">
        <v>513</v>
      </c>
      <c r="E5">
        <v>7</v>
      </c>
      <c r="F5">
        <v>1845.44</v>
      </c>
      <c r="G5">
        <v>1429.81</v>
      </c>
      <c r="H5">
        <v>12918.08</v>
      </c>
      <c r="I5">
        <f t="shared" si="0"/>
        <v>2909.41</v>
      </c>
      <c r="L5" s="4">
        <f>SUM(H2:H501)</f>
        <v>5376830.1099999966</v>
      </c>
    </row>
    <row r="6" spans="1:12" x14ac:dyDescent="0.3">
      <c r="A6" s="2">
        <v>45725</v>
      </c>
      <c r="B6" t="s">
        <v>12</v>
      </c>
      <c r="C6" t="s">
        <v>508</v>
      </c>
      <c r="D6" t="s">
        <v>514</v>
      </c>
      <c r="E6">
        <v>15</v>
      </c>
      <c r="F6">
        <v>577.46</v>
      </c>
      <c r="G6">
        <v>421.71</v>
      </c>
      <c r="H6">
        <v>8661.9</v>
      </c>
      <c r="I6">
        <f t="shared" si="0"/>
        <v>2336.25</v>
      </c>
    </row>
    <row r="7" spans="1:12" x14ac:dyDescent="0.3">
      <c r="A7" s="2">
        <v>45640</v>
      </c>
      <c r="B7" t="s">
        <v>13</v>
      </c>
      <c r="C7" t="s">
        <v>509</v>
      </c>
      <c r="D7" t="s">
        <v>515</v>
      </c>
      <c r="E7">
        <v>3</v>
      </c>
      <c r="F7">
        <v>1627.65</v>
      </c>
      <c r="G7">
        <v>1178.82</v>
      </c>
      <c r="H7">
        <v>4882.95</v>
      </c>
      <c r="I7">
        <f t="shared" si="0"/>
        <v>1346.4899999999998</v>
      </c>
      <c r="L7" s="5" t="s">
        <v>519</v>
      </c>
    </row>
    <row r="8" spans="1:12" x14ac:dyDescent="0.3">
      <c r="A8" s="2">
        <v>45844</v>
      </c>
      <c r="B8" t="s">
        <v>14</v>
      </c>
      <c r="C8" t="s">
        <v>507</v>
      </c>
      <c r="D8" t="s">
        <v>515</v>
      </c>
      <c r="E8">
        <v>3</v>
      </c>
      <c r="F8">
        <v>946.57</v>
      </c>
      <c r="G8">
        <v>665.41</v>
      </c>
      <c r="H8">
        <v>2839.71</v>
      </c>
      <c r="I8">
        <f t="shared" si="0"/>
        <v>843.48</v>
      </c>
      <c r="L8" s="4">
        <f>SUM(E2:E501)</f>
        <v>5286</v>
      </c>
    </row>
    <row r="9" spans="1:12" x14ac:dyDescent="0.3">
      <c r="A9" s="2">
        <v>45848</v>
      </c>
      <c r="B9" t="s">
        <v>15</v>
      </c>
      <c r="C9" t="s">
        <v>510</v>
      </c>
      <c r="D9" t="s">
        <v>513</v>
      </c>
      <c r="E9">
        <v>6</v>
      </c>
      <c r="F9">
        <v>645.42999999999995</v>
      </c>
      <c r="G9">
        <v>446.17</v>
      </c>
      <c r="H9">
        <v>3872.58</v>
      </c>
      <c r="I9">
        <f t="shared" si="0"/>
        <v>1195.56</v>
      </c>
    </row>
    <row r="10" spans="1:12" x14ac:dyDescent="0.3">
      <c r="A10" s="2">
        <v>45848</v>
      </c>
      <c r="B10" t="s">
        <v>16</v>
      </c>
      <c r="C10" t="s">
        <v>509</v>
      </c>
      <c r="D10" t="s">
        <v>513</v>
      </c>
      <c r="E10">
        <v>11</v>
      </c>
      <c r="F10">
        <v>972.58</v>
      </c>
      <c r="G10">
        <v>804.71</v>
      </c>
      <c r="H10">
        <v>10698.38</v>
      </c>
      <c r="I10">
        <f t="shared" si="0"/>
        <v>1846.5699999999979</v>
      </c>
      <c r="L10" s="5" t="s">
        <v>520</v>
      </c>
    </row>
    <row r="11" spans="1:12" x14ac:dyDescent="0.3">
      <c r="A11" s="2">
        <v>45707</v>
      </c>
      <c r="B11" t="s">
        <v>17</v>
      </c>
      <c r="C11" t="s">
        <v>507</v>
      </c>
      <c r="D11" t="s">
        <v>515</v>
      </c>
      <c r="E11">
        <v>14</v>
      </c>
      <c r="F11">
        <v>496.47</v>
      </c>
      <c r="G11">
        <v>309.83</v>
      </c>
      <c r="H11">
        <v>6950.58</v>
      </c>
      <c r="I11">
        <f t="shared" si="0"/>
        <v>2612.96</v>
      </c>
      <c r="L11" s="4">
        <f>SUM(I2:I501)</f>
        <v>1372442.3600000003</v>
      </c>
    </row>
    <row r="12" spans="1:12" x14ac:dyDescent="0.3">
      <c r="A12" s="2">
        <v>45897</v>
      </c>
      <c r="B12" t="s">
        <v>18</v>
      </c>
      <c r="C12" t="s">
        <v>508</v>
      </c>
      <c r="D12" t="s">
        <v>511</v>
      </c>
      <c r="E12">
        <v>16</v>
      </c>
      <c r="F12">
        <v>1297.8900000000001</v>
      </c>
      <c r="G12">
        <v>828.66</v>
      </c>
      <c r="H12">
        <v>20766.240000000002</v>
      </c>
      <c r="I12">
        <f t="shared" si="0"/>
        <v>7507.6800000000021</v>
      </c>
    </row>
    <row r="13" spans="1:12" x14ac:dyDescent="0.3">
      <c r="A13" s="2">
        <v>45878</v>
      </c>
      <c r="B13" t="s">
        <v>19</v>
      </c>
      <c r="C13" t="s">
        <v>508</v>
      </c>
      <c r="D13" t="s">
        <v>513</v>
      </c>
      <c r="E13">
        <v>2</v>
      </c>
      <c r="F13">
        <v>567.76</v>
      </c>
      <c r="G13">
        <v>343.75</v>
      </c>
      <c r="H13">
        <v>1135.52</v>
      </c>
      <c r="I13">
        <f t="shared" si="0"/>
        <v>448.02</v>
      </c>
      <c r="L13" s="6" t="s">
        <v>521</v>
      </c>
    </row>
    <row r="14" spans="1:12" x14ac:dyDescent="0.3">
      <c r="A14" s="2">
        <v>45600</v>
      </c>
      <c r="B14" t="s">
        <v>20</v>
      </c>
      <c r="C14" t="s">
        <v>508</v>
      </c>
      <c r="D14" t="s">
        <v>511</v>
      </c>
      <c r="E14">
        <v>12</v>
      </c>
      <c r="F14">
        <v>907.1</v>
      </c>
      <c r="G14">
        <v>660.82</v>
      </c>
      <c r="H14">
        <v>10885.2</v>
      </c>
      <c r="I14">
        <f t="shared" si="0"/>
        <v>2955.3600000000006</v>
      </c>
      <c r="L14" s="4">
        <f>AVERAGE(H2:H501)</f>
        <v>10753.660219999992</v>
      </c>
    </row>
    <row r="15" spans="1:12" x14ac:dyDescent="0.3">
      <c r="A15" s="2">
        <v>45894</v>
      </c>
      <c r="B15" t="s">
        <v>21</v>
      </c>
      <c r="C15" t="s">
        <v>507</v>
      </c>
      <c r="D15" t="s">
        <v>511</v>
      </c>
      <c r="E15">
        <v>14</v>
      </c>
      <c r="F15">
        <v>1574.01</v>
      </c>
      <c r="G15">
        <v>1357.19</v>
      </c>
      <c r="H15">
        <v>22036.14</v>
      </c>
      <c r="I15">
        <f t="shared" si="0"/>
        <v>3035.4799999999996</v>
      </c>
    </row>
    <row r="16" spans="1:12" x14ac:dyDescent="0.3">
      <c r="A16" s="2">
        <v>45705</v>
      </c>
      <c r="B16" t="s">
        <v>22</v>
      </c>
      <c r="C16" t="s">
        <v>507</v>
      </c>
      <c r="D16" t="s">
        <v>516</v>
      </c>
      <c r="E16">
        <v>13</v>
      </c>
      <c r="F16">
        <v>1911.61</v>
      </c>
      <c r="G16">
        <v>1556.96</v>
      </c>
      <c r="H16">
        <v>24850.93</v>
      </c>
      <c r="I16">
        <f t="shared" si="0"/>
        <v>4610.4500000000007</v>
      </c>
    </row>
    <row r="17" spans="1:9" x14ac:dyDescent="0.3">
      <c r="A17" s="2">
        <v>45851</v>
      </c>
      <c r="B17" t="s">
        <v>23</v>
      </c>
      <c r="C17" t="s">
        <v>510</v>
      </c>
      <c r="D17" t="s">
        <v>514</v>
      </c>
      <c r="E17">
        <v>2</v>
      </c>
      <c r="F17">
        <v>487.1</v>
      </c>
      <c r="G17">
        <v>316.38</v>
      </c>
      <c r="H17">
        <v>974.2</v>
      </c>
      <c r="I17">
        <f t="shared" si="0"/>
        <v>341.44000000000005</v>
      </c>
    </row>
    <row r="18" spans="1:9" x14ac:dyDescent="0.3">
      <c r="A18" s="2">
        <v>45743</v>
      </c>
      <c r="B18" t="s">
        <v>24</v>
      </c>
      <c r="C18" t="s">
        <v>510</v>
      </c>
      <c r="D18" t="s">
        <v>513</v>
      </c>
      <c r="E18">
        <v>13</v>
      </c>
      <c r="F18">
        <v>484.24</v>
      </c>
      <c r="G18">
        <v>366.66</v>
      </c>
      <c r="H18">
        <v>6295.12</v>
      </c>
      <c r="I18">
        <f t="shared" si="0"/>
        <v>1528.54</v>
      </c>
    </row>
    <row r="19" spans="1:9" x14ac:dyDescent="0.3">
      <c r="A19" s="2">
        <v>45633</v>
      </c>
      <c r="B19" t="s">
        <v>25</v>
      </c>
      <c r="C19" t="s">
        <v>510</v>
      </c>
      <c r="D19" t="s">
        <v>512</v>
      </c>
      <c r="E19">
        <v>7</v>
      </c>
      <c r="F19">
        <v>1789.19</v>
      </c>
      <c r="G19">
        <v>1303.0999999999999</v>
      </c>
      <c r="H19">
        <v>12524.33</v>
      </c>
      <c r="I19">
        <f t="shared" si="0"/>
        <v>3402.630000000001</v>
      </c>
    </row>
    <row r="20" spans="1:9" x14ac:dyDescent="0.3">
      <c r="A20" s="2">
        <v>45736</v>
      </c>
      <c r="B20" t="s">
        <v>26</v>
      </c>
      <c r="C20" t="s">
        <v>507</v>
      </c>
      <c r="D20" t="s">
        <v>511</v>
      </c>
      <c r="E20">
        <v>11</v>
      </c>
      <c r="F20">
        <v>419.66</v>
      </c>
      <c r="G20">
        <v>266.76</v>
      </c>
      <c r="H20">
        <v>4616.26</v>
      </c>
      <c r="I20">
        <f t="shared" si="0"/>
        <v>1681.9000000000005</v>
      </c>
    </row>
    <row r="21" spans="1:9" x14ac:dyDescent="0.3">
      <c r="A21" s="2">
        <v>45915</v>
      </c>
      <c r="B21" t="s">
        <v>27</v>
      </c>
      <c r="C21" t="s">
        <v>510</v>
      </c>
      <c r="D21" t="s">
        <v>512</v>
      </c>
      <c r="E21">
        <v>13</v>
      </c>
      <c r="F21">
        <v>119.77</v>
      </c>
      <c r="G21">
        <v>90.3</v>
      </c>
      <c r="H21">
        <v>1557.01</v>
      </c>
      <c r="I21">
        <f t="shared" si="0"/>
        <v>383.11000000000013</v>
      </c>
    </row>
    <row r="22" spans="1:9" x14ac:dyDescent="0.3">
      <c r="A22" s="2">
        <v>45706</v>
      </c>
      <c r="B22" t="s">
        <v>28</v>
      </c>
      <c r="C22" t="s">
        <v>510</v>
      </c>
      <c r="D22" t="s">
        <v>513</v>
      </c>
      <c r="E22">
        <v>8</v>
      </c>
      <c r="F22">
        <v>964.27</v>
      </c>
      <c r="G22">
        <v>768.59</v>
      </c>
      <c r="H22">
        <v>7714.16</v>
      </c>
      <c r="I22">
        <f t="shared" si="0"/>
        <v>1565.4399999999996</v>
      </c>
    </row>
    <row r="23" spans="1:9" x14ac:dyDescent="0.3">
      <c r="A23" s="2">
        <v>45787</v>
      </c>
      <c r="B23" t="s">
        <v>29</v>
      </c>
      <c r="C23" t="s">
        <v>510</v>
      </c>
      <c r="D23" t="s">
        <v>511</v>
      </c>
      <c r="E23">
        <v>3</v>
      </c>
      <c r="F23">
        <v>1665.29</v>
      </c>
      <c r="G23">
        <v>1172.8499999999999</v>
      </c>
      <c r="H23">
        <v>4995.87</v>
      </c>
      <c r="I23">
        <f t="shared" si="0"/>
        <v>1477.3200000000002</v>
      </c>
    </row>
    <row r="24" spans="1:9" x14ac:dyDescent="0.3">
      <c r="A24" s="2">
        <v>45694</v>
      </c>
      <c r="B24" t="s">
        <v>30</v>
      </c>
      <c r="C24" t="s">
        <v>509</v>
      </c>
      <c r="D24" t="s">
        <v>515</v>
      </c>
      <c r="E24">
        <v>14</v>
      </c>
      <c r="F24">
        <v>876.25</v>
      </c>
      <c r="G24">
        <v>780.45</v>
      </c>
      <c r="H24">
        <v>12267.5</v>
      </c>
      <c r="I24">
        <f t="shared" si="0"/>
        <v>1341.1999999999989</v>
      </c>
    </row>
    <row r="25" spans="1:9" x14ac:dyDescent="0.3">
      <c r="A25" s="2">
        <v>45852</v>
      </c>
      <c r="B25" t="s">
        <v>31</v>
      </c>
      <c r="C25" t="s">
        <v>510</v>
      </c>
      <c r="D25" t="s">
        <v>513</v>
      </c>
      <c r="E25">
        <v>11</v>
      </c>
      <c r="F25">
        <v>1786.47</v>
      </c>
      <c r="G25">
        <v>1097.9000000000001</v>
      </c>
      <c r="H25">
        <v>19651.169999999998</v>
      </c>
      <c r="I25">
        <f t="shared" si="0"/>
        <v>7574.2699999999968</v>
      </c>
    </row>
    <row r="26" spans="1:9" x14ac:dyDescent="0.3">
      <c r="A26" s="2">
        <v>45625</v>
      </c>
      <c r="B26" t="s">
        <v>32</v>
      </c>
      <c r="C26" t="s">
        <v>510</v>
      </c>
      <c r="D26" t="s">
        <v>514</v>
      </c>
      <c r="E26">
        <v>8</v>
      </c>
      <c r="F26">
        <v>934.24</v>
      </c>
      <c r="G26">
        <v>778.4</v>
      </c>
      <c r="H26">
        <v>7473.92</v>
      </c>
      <c r="I26">
        <f t="shared" si="0"/>
        <v>1246.7200000000003</v>
      </c>
    </row>
    <row r="27" spans="1:9" x14ac:dyDescent="0.3">
      <c r="A27" s="2">
        <v>45732</v>
      </c>
      <c r="B27" t="s">
        <v>33</v>
      </c>
      <c r="C27" t="s">
        <v>507</v>
      </c>
      <c r="D27" t="s">
        <v>516</v>
      </c>
      <c r="E27">
        <v>19</v>
      </c>
      <c r="F27">
        <v>1915.47</v>
      </c>
      <c r="G27">
        <v>1332.07</v>
      </c>
      <c r="H27">
        <v>36393.93</v>
      </c>
      <c r="I27">
        <f t="shared" si="0"/>
        <v>11084.600000000002</v>
      </c>
    </row>
    <row r="28" spans="1:9" x14ac:dyDescent="0.3">
      <c r="A28" s="2">
        <v>45589</v>
      </c>
      <c r="B28" t="s">
        <v>34</v>
      </c>
      <c r="C28" t="s">
        <v>509</v>
      </c>
      <c r="D28" t="s">
        <v>513</v>
      </c>
      <c r="E28">
        <v>19</v>
      </c>
      <c r="F28">
        <v>560.73</v>
      </c>
      <c r="G28">
        <v>369.01</v>
      </c>
      <c r="H28">
        <v>10653.87</v>
      </c>
      <c r="I28">
        <f t="shared" si="0"/>
        <v>3642.6800000000012</v>
      </c>
    </row>
    <row r="29" spans="1:9" x14ac:dyDescent="0.3">
      <c r="A29" s="2">
        <v>45906</v>
      </c>
      <c r="B29" t="s">
        <v>35</v>
      </c>
      <c r="C29" t="s">
        <v>509</v>
      </c>
      <c r="D29" t="s">
        <v>515</v>
      </c>
      <c r="E29">
        <v>15</v>
      </c>
      <c r="F29">
        <v>1813.62</v>
      </c>
      <c r="G29">
        <v>1280.7</v>
      </c>
      <c r="H29">
        <v>27204.3</v>
      </c>
      <c r="I29">
        <f t="shared" si="0"/>
        <v>7993.7999999999993</v>
      </c>
    </row>
    <row r="30" spans="1:9" x14ac:dyDescent="0.3">
      <c r="A30" s="2">
        <v>45642</v>
      </c>
      <c r="B30" t="s">
        <v>36</v>
      </c>
      <c r="C30" t="s">
        <v>510</v>
      </c>
      <c r="D30" t="s">
        <v>515</v>
      </c>
      <c r="E30">
        <v>11</v>
      </c>
      <c r="F30">
        <v>818.57</v>
      </c>
      <c r="G30">
        <v>627.1</v>
      </c>
      <c r="H30">
        <v>9004.27</v>
      </c>
      <c r="I30">
        <f t="shared" si="0"/>
        <v>2106.17</v>
      </c>
    </row>
    <row r="31" spans="1:9" x14ac:dyDescent="0.3">
      <c r="A31" s="2">
        <v>45754</v>
      </c>
      <c r="B31" t="s">
        <v>37</v>
      </c>
      <c r="C31" t="s">
        <v>510</v>
      </c>
      <c r="D31" t="s">
        <v>514</v>
      </c>
      <c r="E31">
        <v>15</v>
      </c>
      <c r="F31">
        <v>678.04</v>
      </c>
      <c r="G31">
        <v>593.32000000000005</v>
      </c>
      <c r="H31">
        <v>10170.6</v>
      </c>
      <c r="I31">
        <f t="shared" si="0"/>
        <v>1270.7999999999993</v>
      </c>
    </row>
    <row r="32" spans="1:9" x14ac:dyDescent="0.3">
      <c r="A32" s="2">
        <v>45569</v>
      </c>
      <c r="B32" t="s">
        <v>38</v>
      </c>
      <c r="C32" t="s">
        <v>507</v>
      </c>
      <c r="D32" t="s">
        <v>513</v>
      </c>
      <c r="E32">
        <v>17</v>
      </c>
      <c r="F32">
        <v>1260.33</v>
      </c>
      <c r="G32">
        <v>986.94</v>
      </c>
      <c r="H32">
        <v>21425.61</v>
      </c>
      <c r="I32">
        <f t="shared" si="0"/>
        <v>4647.630000000001</v>
      </c>
    </row>
    <row r="33" spans="1:9" x14ac:dyDescent="0.3">
      <c r="A33" s="2">
        <v>45784</v>
      </c>
      <c r="B33" t="s">
        <v>39</v>
      </c>
      <c r="C33" t="s">
        <v>507</v>
      </c>
      <c r="D33" t="s">
        <v>512</v>
      </c>
      <c r="E33">
        <v>18</v>
      </c>
      <c r="F33">
        <v>1698.3</v>
      </c>
      <c r="G33">
        <v>1229.73</v>
      </c>
      <c r="H33">
        <v>30569.4</v>
      </c>
      <c r="I33">
        <f t="shared" si="0"/>
        <v>8434.260000000002</v>
      </c>
    </row>
    <row r="34" spans="1:9" x14ac:dyDescent="0.3">
      <c r="A34" s="2">
        <v>45726</v>
      </c>
      <c r="B34" t="s">
        <v>40</v>
      </c>
      <c r="C34" t="s">
        <v>508</v>
      </c>
      <c r="D34" t="s">
        <v>513</v>
      </c>
      <c r="E34">
        <v>13</v>
      </c>
      <c r="F34">
        <v>1686.76</v>
      </c>
      <c r="G34">
        <v>1310.98</v>
      </c>
      <c r="H34">
        <v>21927.88</v>
      </c>
      <c r="I34">
        <f t="shared" si="0"/>
        <v>4885.1399999999994</v>
      </c>
    </row>
    <row r="35" spans="1:9" x14ac:dyDescent="0.3">
      <c r="A35" s="2">
        <v>45869</v>
      </c>
      <c r="B35" t="s">
        <v>41</v>
      </c>
      <c r="C35" t="s">
        <v>508</v>
      </c>
      <c r="D35" t="s">
        <v>515</v>
      </c>
      <c r="E35">
        <v>18</v>
      </c>
      <c r="F35">
        <v>1218.98</v>
      </c>
      <c r="G35">
        <v>804.86</v>
      </c>
      <c r="H35">
        <v>21941.64</v>
      </c>
      <c r="I35">
        <f t="shared" si="0"/>
        <v>7454.16</v>
      </c>
    </row>
    <row r="36" spans="1:9" x14ac:dyDescent="0.3">
      <c r="A36" s="2">
        <v>45844</v>
      </c>
      <c r="B36" t="s">
        <v>42</v>
      </c>
      <c r="C36" t="s">
        <v>508</v>
      </c>
      <c r="D36" t="s">
        <v>513</v>
      </c>
      <c r="E36">
        <v>5</v>
      </c>
      <c r="F36">
        <v>74.52</v>
      </c>
      <c r="G36">
        <v>57.42</v>
      </c>
      <c r="H36">
        <v>372.6</v>
      </c>
      <c r="I36">
        <f t="shared" si="0"/>
        <v>85.5</v>
      </c>
    </row>
    <row r="37" spans="1:9" x14ac:dyDescent="0.3">
      <c r="A37" s="2">
        <v>45571</v>
      </c>
      <c r="B37" t="s">
        <v>43</v>
      </c>
      <c r="C37" t="s">
        <v>507</v>
      </c>
      <c r="D37" t="s">
        <v>516</v>
      </c>
      <c r="E37">
        <v>19</v>
      </c>
      <c r="F37">
        <v>618.78</v>
      </c>
      <c r="G37">
        <v>469.16</v>
      </c>
      <c r="H37">
        <v>11756.82</v>
      </c>
      <c r="I37">
        <f t="shared" si="0"/>
        <v>2842.7799999999988</v>
      </c>
    </row>
    <row r="38" spans="1:9" x14ac:dyDescent="0.3">
      <c r="A38" s="2">
        <v>45785</v>
      </c>
      <c r="B38" t="s">
        <v>44</v>
      </c>
      <c r="C38" t="s">
        <v>507</v>
      </c>
      <c r="D38" t="s">
        <v>516</v>
      </c>
      <c r="E38">
        <v>19</v>
      </c>
      <c r="F38">
        <v>1375.28</v>
      </c>
      <c r="G38">
        <v>838.35</v>
      </c>
      <c r="H38">
        <v>26130.32</v>
      </c>
      <c r="I38">
        <f t="shared" si="0"/>
        <v>10201.67</v>
      </c>
    </row>
    <row r="39" spans="1:9" x14ac:dyDescent="0.3">
      <c r="A39" s="2">
        <v>45620</v>
      </c>
      <c r="B39" t="s">
        <v>45</v>
      </c>
      <c r="C39" t="s">
        <v>507</v>
      </c>
      <c r="D39" t="s">
        <v>516</v>
      </c>
      <c r="E39">
        <v>20</v>
      </c>
      <c r="F39">
        <v>1795.01</v>
      </c>
      <c r="G39">
        <v>1140.17</v>
      </c>
      <c r="H39">
        <v>35900.199999999997</v>
      </c>
      <c r="I39">
        <f t="shared" si="0"/>
        <v>13096.799999999996</v>
      </c>
    </row>
    <row r="40" spans="1:9" x14ac:dyDescent="0.3">
      <c r="A40" s="2">
        <v>45843</v>
      </c>
      <c r="B40" t="s">
        <v>46</v>
      </c>
      <c r="C40" t="s">
        <v>510</v>
      </c>
      <c r="D40" t="s">
        <v>511</v>
      </c>
      <c r="E40">
        <v>10</v>
      </c>
      <c r="F40">
        <v>1823.46</v>
      </c>
      <c r="G40">
        <v>1516.75</v>
      </c>
      <c r="H40">
        <v>18234.599999999999</v>
      </c>
      <c r="I40">
        <f t="shared" si="0"/>
        <v>3067.0999999999985</v>
      </c>
    </row>
    <row r="41" spans="1:9" x14ac:dyDescent="0.3">
      <c r="A41" s="2">
        <v>45602</v>
      </c>
      <c r="B41" t="s">
        <v>47</v>
      </c>
      <c r="C41" t="s">
        <v>507</v>
      </c>
      <c r="D41" t="s">
        <v>513</v>
      </c>
      <c r="E41">
        <v>17</v>
      </c>
      <c r="F41">
        <v>1168.27</v>
      </c>
      <c r="G41">
        <v>1012.33</v>
      </c>
      <c r="H41">
        <v>19860.59</v>
      </c>
      <c r="I41">
        <f t="shared" si="0"/>
        <v>2650.9799999999996</v>
      </c>
    </row>
    <row r="42" spans="1:9" x14ac:dyDescent="0.3">
      <c r="A42" s="2">
        <v>45640</v>
      </c>
      <c r="B42" t="s">
        <v>48</v>
      </c>
      <c r="C42" t="s">
        <v>508</v>
      </c>
      <c r="D42" t="s">
        <v>513</v>
      </c>
      <c r="E42">
        <v>2</v>
      </c>
      <c r="F42">
        <v>1488.63</v>
      </c>
      <c r="G42">
        <v>1140.3399999999999</v>
      </c>
      <c r="H42">
        <v>2977.26</v>
      </c>
      <c r="I42">
        <f t="shared" si="0"/>
        <v>696.58000000000038</v>
      </c>
    </row>
    <row r="43" spans="1:9" x14ac:dyDescent="0.3">
      <c r="A43" s="2">
        <v>45732</v>
      </c>
      <c r="B43" t="s">
        <v>49</v>
      </c>
      <c r="C43" t="s">
        <v>507</v>
      </c>
      <c r="D43" t="s">
        <v>516</v>
      </c>
      <c r="E43">
        <v>6</v>
      </c>
      <c r="F43">
        <v>620.02</v>
      </c>
      <c r="G43">
        <v>419.07</v>
      </c>
      <c r="H43">
        <v>3720.12</v>
      </c>
      <c r="I43">
        <f t="shared" si="0"/>
        <v>1205.6999999999998</v>
      </c>
    </row>
    <row r="44" spans="1:9" x14ac:dyDescent="0.3">
      <c r="A44" s="2">
        <v>45617</v>
      </c>
      <c r="B44" t="s">
        <v>50</v>
      </c>
      <c r="C44" t="s">
        <v>508</v>
      </c>
      <c r="D44" t="s">
        <v>513</v>
      </c>
      <c r="E44">
        <v>11</v>
      </c>
      <c r="F44">
        <v>1618.1</v>
      </c>
      <c r="G44">
        <v>1164.74</v>
      </c>
      <c r="H44">
        <v>17799.099999999999</v>
      </c>
      <c r="I44">
        <f t="shared" si="0"/>
        <v>4986.9599999999991</v>
      </c>
    </row>
    <row r="45" spans="1:9" x14ac:dyDescent="0.3">
      <c r="A45" s="2">
        <v>45878</v>
      </c>
      <c r="B45" t="s">
        <v>51</v>
      </c>
      <c r="C45" t="s">
        <v>510</v>
      </c>
      <c r="D45" t="s">
        <v>515</v>
      </c>
      <c r="E45">
        <v>6</v>
      </c>
      <c r="F45">
        <v>470.28</v>
      </c>
      <c r="G45">
        <v>409.76</v>
      </c>
      <c r="H45">
        <v>2821.68</v>
      </c>
      <c r="I45">
        <f t="shared" si="0"/>
        <v>363.11999999999989</v>
      </c>
    </row>
    <row r="46" spans="1:9" x14ac:dyDescent="0.3">
      <c r="A46" s="2">
        <v>45571</v>
      </c>
      <c r="B46" t="s">
        <v>52</v>
      </c>
      <c r="C46" t="s">
        <v>508</v>
      </c>
      <c r="D46" t="s">
        <v>513</v>
      </c>
      <c r="E46">
        <v>3</v>
      </c>
      <c r="F46">
        <v>974.23</v>
      </c>
      <c r="G46">
        <v>797.57</v>
      </c>
      <c r="H46">
        <v>2922.69</v>
      </c>
      <c r="I46">
        <f t="shared" si="0"/>
        <v>529.98</v>
      </c>
    </row>
    <row r="47" spans="1:9" x14ac:dyDescent="0.3">
      <c r="A47" s="2">
        <v>45876</v>
      </c>
      <c r="B47" t="s">
        <v>53</v>
      </c>
      <c r="C47" t="s">
        <v>509</v>
      </c>
      <c r="D47" t="s">
        <v>514</v>
      </c>
      <c r="E47">
        <v>13</v>
      </c>
      <c r="F47">
        <v>1101.28</v>
      </c>
      <c r="G47">
        <v>940.22</v>
      </c>
      <c r="H47">
        <v>14316.64</v>
      </c>
      <c r="I47">
        <f t="shared" si="0"/>
        <v>2093.7799999999988</v>
      </c>
    </row>
    <row r="48" spans="1:9" x14ac:dyDescent="0.3">
      <c r="A48" s="2">
        <v>45632</v>
      </c>
      <c r="B48" t="s">
        <v>54</v>
      </c>
      <c r="C48" t="s">
        <v>508</v>
      </c>
      <c r="D48" t="s">
        <v>514</v>
      </c>
      <c r="E48">
        <v>5</v>
      </c>
      <c r="F48">
        <v>87.62</v>
      </c>
      <c r="G48">
        <v>71.25</v>
      </c>
      <c r="H48">
        <v>438.1</v>
      </c>
      <c r="I48">
        <f t="shared" si="0"/>
        <v>81.850000000000023</v>
      </c>
    </row>
    <row r="49" spans="1:9" x14ac:dyDescent="0.3">
      <c r="A49" s="2">
        <v>45705</v>
      </c>
      <c r="B49" t="s">
        <v>55</v>
      </c>
      <c r="C49" t="s">
        <v>508</v>
      </c>
      <c r="D49" t="s">
        <v>514</v>
      </c>
      <c r="E49">
        <v>1</v>
      </c>
      <c r="F49">
        <v>1694.46</v>
      </c>
      <c r="G49">
        <v>1479.08</v>
      </c>
      <c r="H49">
        <v>1694.46</v>
      </c>
      <c r="I49">
        <f t="shared" si="0"/>
        <v>215.38000000000011</v>
      </c>
    </row>
    <row r="50" spans="1:9" x14ac:dyDescent="0.3">
      <c r="A50" s="2">
        <v>45836</v>
      </c>
      <c r="B50" t="s">
        <v>56</v>
      </c>
      <c r="C50" t="s">
        <v>508</v>
      </c>
      <c r="D50" t="s">
        <v>515</v>
      </c>
      <c r="E50">
        <v>18</v>
      </c>
      <c r="F50">
        <v>1568.78</v>
      </c>
      <c r="G50">
        <v>1017.79</v>
      </c>
      <c r="H50">
        <v>28238.04</v>
      </c>
      <c r="I50">
        <f t="shared" si="0"/>
        <v>9917.82</v>
      </c>
    </row>
    <row r="51" spans="1:9" x14ac:dyDescent="0.3">
      <c r="A51" s="2">
        <v>45582</v>
      </c>
      <c r="B51" t="s">
        <v>57</v>
      </c>
      <c r="C51" t="s">
        <v>508</v>
      </c>
      <c r="D51" t="s">
        <v>515</v>
      </c>
      <c r="E51">
        <v>20</v>
      </c>
      <c r="F51">
        <v>922.76</v>
      </c>
      <c r="G51">
        <v>807.87</v>
      </c>
      <c r="H51">
        <v>18455.2</v>
      </c>
      <c r="I51">
        <f t="shared" si="0"/>
        <v>2297.8000000000011</v>
      </c>
    </row>
    <row r="52" spans="1:9" x14ac:dyDescent="0.3">
      <c r="A52" s="2">
        <v>45857</v>
      </c>
      <c r="B52" t="s">
        <v>58</v>
      </c>
      <c r="C52" t="s">
        <v>508</v>
      </c>
      <c r="D52" t="s">
        <v>512</v>
      </c>
      <c r="E52">
        <v>11</v>
      </c>
      <c r="F52">
        <v>112.35</v>
      </c>
      <c r="G52">
        <v>75.680000000000007</v>
      </c>
      <c r="H52">
        <v>1235.8499999999999</v>
      </c>
      <c r="I52">
        <f t="shared" si="0"/>
        <v>403.36999999999989</v>
      </c>
    </row>
    <row r="53" spans="1:9" x14ac:dyDescent="0.3">
      <c r="A53" s="2">
        <v>45841</v>
      </c>
      <c r="B53" t="s">
        <v>59</v>
      </c>
      <c r="C53" t="s">
        <v>509</v>
      </c>
      <c r="D53" t="s">
        <v>511</v>
      </c>
      <c r="E53">
        <v>18</v>
      </c>
      <c r="F53">
        <v>148.63</v>
      </c>
      <c r="G53">
        <v>91.1</v>
      </c>
      <c r="H53">
        <v>2675.34</v>
      </c>
      <c r="I53">
        <f t="shared" si="0"/>
        <v>1035.5400000000002</v>
      </c>
    </row>
    <row r="54" spans="1:9" x14ac:dyDescent="0.3">
      <c r="A54" s="2">
        <v>45658</v>
      </c>
      <c r="B54" t="s">
        <v>60</v>
      </c>
      <c r="C54" t="s">
        <v>509</v>
      </c>
      <c r="D54" t="s">
        <v>513</v>
      </c>
      <c r="E54">
        <v>10</v>
      </c>
      <c r="F54">
        <v>486.51</v>
      </c>
      <c r="G54">
        <v>302.31</v>
      </c>
      <c r="H54">
        <v>4865.1000000000004</v>
      </c>
      <c r="I54">
        <f t="shared" si="0"/>
        <v>1842.0000000000005</v>
      </c>
    </row>
    <row r="55" spans="1:9" x14ac:dyDescent="0.3">
      <c r="A55" s="2">
        <v>45875</v>
      </c>
      <c r="B55" t="s">
        <v>61</v>
      </c>
      <c r="C55" t="s">
        <v>510</v>
      </c>
      <c r="D55" t="s">
        <v>511</v>
      </c>
      <c r="E55">
        <v>15</v>
      </c>
      <c r="F55">
        <v>1152.51</v>
      </c>
      <c r="G55">
        <v>912.45</v>
      </c>
      <c r="H55">
        <v>17287.650000000001</v>
      </c>
      <c r="I55">
        <f t="shared" si="0"/>
        <v>3600.9000000000015</v>
      </c>
    </row>
    <row r="56" spans="1:9" x14ac:dyDescent="0.3">
      <c r="A56" s="2">
        <v>45792</v>
      </c>
      <c r="B56" t="s">
        <v>62</v>
      </c>
      <c r="C56" t="s">
        <v>507</v>
      </c>
      <c r="D56" t="s">
        <v>513</v>
      </c>
      <c r="E56">
        <v>8</v>
      </c>
      <c r="F56">
        <v>1477.24</v>
      </c>
      <c r="G56">
        <v>1295.79</v>
      </c>
      <c r="H56">
        <v>11817.92</v>
      </c>
      <c r="I56">
        <f t="shared" si="0"/>
        <v>1451.6000000000004</v>
      </c>
    </row>
    <row r="57" spans="1:9" x14ac:dyDescent="0.3">
      <c r="A57" s="2">
        <v>45732</v>
      </c>
      <c r="B57" t="s">
        <v>63</v>
      </c>
      <c r="C57" t="s">
        <v>510</v>
      </c>
      <c r="D57" t="s">
        <v>512</v>
      </c>
      <c r="E57">
        <v>8</v>
      </c>
      <c r="F57">
        <v>972.8</v>
      </c>
      <c r="G57">
        <v>784.56</v>
      </c>
      <c r="H57">
        <v>7782.4</v>
      </c>
      <c r="I57">
        <f t="shared" si="0"/>
        <v>1505.92</v>
      </c>
    </row>
    <row r="58" spans="1:9" x14ac:dyDescent="0.3">
      <c r="A58" s="2">
        <v>45864</v>
      </c>
      <c r="B58" t="s">
        <v>64</v>
      </c>
      <c r="C58" t="s">
        <v>507</v>
      </c>
      <c r="D58" t="s">
        <v>511</v>
      </c>
      <c r="E58">
        <v>14</v>
      </c>
      <c r="F58">
        <v>864.54</v>
      </c>
      <c r="G58">
        <v>776.23</v>
      </c>
      <c r="H58">
        <v>12103.56</v>
      </c>
      <c r="I58">
        <f t="shared" si="0"/>
        <v>1236.3399999999983</v>
      </c>
    </row>
    <row r="59" spans="1:9" x14ac:dyDescent="0.3">
      <c r="A59" s="2">
        <v>45691</v>
      </c>
      <c r="B59" t="s">
        <v>65</v>
      </c>
      <c r="C59" t="s">
        <v>507</v>
      </c>
      <c r="D59" t="s">
        <v>513</v>
      </c>
      <c r="E59">
        <v>13</v>
      </c>
      <c r="F59">
        <v>1959.84</v>
      </c>
      <c r="G59">
        <v>1209.1500000000001</v>
      </c>
      <c r="H59">
        <v>25477.919999999998</v>
      </c>
      <c r="I59">
        <f t="shared" si="0"/>
        <v>9758.9699999999975</v>
      </c>
    </row>
    <row r="60" spans="1:9" x14ac:dyDescent="0.3">
      <c r="A60" s="2">
        <v>45888</v>
      </c>
      <c r="B60" t="s">
        <v>66</v>
      </c>
      <c r="C60" t="s">
        <v>509</v>
      </c>
      <c r="D60" t="s">
        <v>511</v>
      </c>
      <c r="E60">
        <v>11</v>
      </c>
      <c r="F60">
        <v>455.08</v>
      </c>
      <c r="G60">
        <v>380.57</v>
      </c>
      <c r="H60">
        <v>5005.88</v>
      </c>
      <c r="I60">
        <f t="shared" si="0"/>
        <v>819.61000000000058</v>
      </c>
    </row>
    <row r="61" spans="1:9" x14ac:dyDescent="0.3">
      <c r="A61" s="2">
        <v>45606</v>
      </c>
      <c r="B61" t="s">
        <v>67</v>
      </c>
      <c r="C61" t="s">
        <v>508</v>
      </c>
      <c r="D61" t="s">
        <v>511</v>
      </c>
      <c r="E61">
        <v>1</v>
      </c>
      <c r="F61">
        <v>1856.33</v>
      </c>
      <c r="G61">
        <v>1182.1400000000001</v>
      </c>
      <c r="H61">
        <v>1856.33</v>
      </c>
      <c r="I61">
        <f t="shared" si="0"/>
        <v>674.18999999999983</v>
      </c>
    </row>
    <row r="62" spans="1:9" x14ac:dyDescent="0.3">
      <c r="A62" s="2">
        <v>45675</v>
      </c>
      <c r="B62" t="s">
        <v>68</v>
      </c>
      <c r="C62" t="s">
        <v>510</v>
      </c>
      <c r="D62" t="s">
        <v>514</v>
      </c>
      <c r="E62">
        <v>16</v>
      </c>
      <c r="F62">
        <v>1557.77</v>
      </c>
      <c r="G62">
        <v>1360.55</v>
      </c>
      <c r="H62">
        <v>24924.32</v>
      </c>
      <c r="I62">
        <f t="shared" si="0"/>
        <v>3155.5200000000004</v>
      </c>
    </row>
    <row r="63" spans="1:9" x14ac:dyDescent="0.3">
      <c r="A63" s="2">
        <v>45721</v>
      </c>
      <c r="B63" t="s">
        <v>69</v>
      </c>
      <c r="C63" t="s">
        <v>510</v>
      </c>
      <c r="D63" t="s">
        <v>515</v>
      </c>
      <c r="E63">
        <v>10</v>
      </c>
      <c r="F63">
        <v>1538.53</v>
      </c>
      <c r="G63">
        <v>954.52</v>
      </c>
      <c r="H63">
        <v>15385.3</v>
      </c>
      <c r="I63">
        <f t="shared" si="0"/>
        <v>5840.0999999999985</v>
      </c>
    </row>
    <row r="64" spans="1:9" x14ac:dyDescent="0.3">
      <c r="A64" s="2">
        <v>45704</v>
      </c>
      <c r="B64" t="s">
        <v>70</v>
      </c>
      <c r="C64" t="s">
        <v>510</v>
      </c>
      <c r="D64" t="s">
        <v>513</v>
      </c>
      <c r="E64">
        <v>20</v>
      </c>
      <c r="F64">
        <v>1300.58</v>
      </c>
      <c r="G64">
        <v>1028.4000000000001</v>
      </c>
      <c r="H64">
        <v>26011.599999999999</v>
      </c>
      <c r="I64">
        <f t="shared" si="0"/>
        <v>5443.5999999999985</v>
      </c>
    </row>
    <row r="65" spans="1:9" x14ac:dyDescent="0.3">
      <c r="A65" s="2">
        <v>45682</v>
      </c>
      <c r="B65" t="s">
        <v>71</v>
      </c>
      <c r="C65" t="s">
        <v>509</v>
      </c>
      <c r="D65" t="s">
        <v>516</v>
      </c>
      <c r="E65">
        <v>11</v>
      </c>
      <c r="F65">
        <v>813.79</v>
      </c>
      <c r="G65">
        <v>569.69000000000005</v>
      </c>
      <c r="H65">
        <v>8951.69</v>
      </c>
      <c r="I65">
        <f t="shared" si="0"/>
        <v>2685.1000000000004</v>
      </c>
    </row>
    <row r="66" spans="1:9" x14ac:dyDescent="0.3">
      <c r="A66" s="2">
        <v>45830</v>
      </c>
      <c r="B66" t="s">
        <v>72</v>
      </c>
      <c r="C66" t="s">
        <v>509</v>
      </c>
      <c r="D66" t="s">
        <v>511</v>
      </c>
      <c r="E66">
        <v>4</v>
      </c>
      <c r="F66">
        <v>232.8</v>
      </c>
      <c r="G66">
        <v>143.72</v>
      </c>
      <c r="H66">
        <v>931.2</v>
      </c>
      <c r="I66">
        <f t="shared" si="0"/>
        <v>356.32000000000005</v>
      </c>
    </row>
    <row r="67" spans="1:9" x14ac:dyDescent="0.3">
      <c r="A67" s="2">
        <v>45841</v>
      </c>
      <c r="B67" t="s">
        <v>73</v>
      </c>
      <c r="C67" t="s">
        <v>509</v>
      </c>
      <c r="D67" t="s">
        <v>512</v>
      </c>
      <c r="E67">
        <v>17</v>
      </c>
      <c r="F67">
        <v>1143.24</v>
      </c>
      <c r="G67">
        <v>925.53</v>
      </c>
      <c r="H67">
        <v>19435.080000000002</v>
      </c>
      <c r="I67">
        <f t="shared" ref="I67:I130" si="1">H67-(G67*E67)</f>
        <v>3701.0700000000015</v>
      </c>
    </row>
    <row r="68" spans="1:9" x14ac:dyDescent="0.3">
      <c r="A68" s="2">
        <v>45658</v>
      </c>
      <c r="B68" t="s">
        <v>74</v>
      </c>
      <c r="C68" t="s">
        <v>507</v>
      </c>
      <c r="D68" t="s">
        <v>515</v>
      </c>
      <c r="E68">
        <v>12</v>
      </c>
      <c r="F68">
        <v>134.32</v>
      </c>
      <c r="G68">
        <v>111.8</v>
      </c>
      <c r="H68">
        <v>1611.84</v>
      </c>
      <c r="I68">
        <f t="shared" si="1"/>
        <v>270.24</v>
      </c>
    </row>
    <row r="69" spans="1:9" x14ac:dyDescent="0.3">
      <c r="A69" s="2">
        <v>45693</v>
      </c>
      <c r="B69" t="s">
        <v>75</v>
      </c>
      <c r="C69" t="s">
        <v>509</v>
      </c>
      <c r="D69" t="s">
        <v>512</v>
      </c>
      <c r="E69">
        <v>11</v>
      </c>
      <c r="F69">
        <v>481.38</v>
      </c>
      <c r="G69">
        <v>320.55</v>
      </c>
      <c r="H69">
        <v>5295.18</v>
      </c>
      <c r="I69">
        <f t="shared" si="1"/>
        <v>1769.13</v>
      </c>
    </row>
    <row r="70" spans="1:9" x14ac:dyDescent="0.3">
      <c r="A70" s="2">
        <v>45698</v>
      </c>
      <c r="B70" t="s">
        <v>76</v>
      </c>
      <c r="C70" t="s">
        <v>508</v>
      </c>
      <c r="D70" t="s">
        <v>516</v>
      </c>
      <c r="E70">
        <v>17</v>
      </c>
      <c r="F70">
        <v>1443.81</v>
      </c>
      <c r="G70">
        <v>926.53</v>
      </c>
      <c r="H70">
        <v>24544.77</v>
      </c>
      <c r="I70">
        <f t="shared" si="1"/>
        <v>8793.76</v>
      </c>
    </row>
    <row r="71" spans="1:9" x14ac:dyDescent="0.3">
      <c r="A71" s="2">
        <v>45728</v>
      </c>
      <c r="B71" t="s">
        <v>77</v>
      </c>
      <c r="C71" t="s">
        <v>508</v>
      </c>
      <c r="D71" t="s">
        <v>511</v>
      </c>
      <c r="E71">
        <v>16</v>
      </c>
      <c r="F71">
        <v>188.28</v>
      </c>
      <c r="G71">
        <v>148.27000000000001</v>
      </c>
      <c r="H71">
        <v>3012.48</v>
      </c>
      <c r="I71">
        <f t="shared" si="1"/>
        <v>640.15999999999985</v>
      </c>
    </row>
    <row r="72" spans="1:9" x14ac:dyDescent="0.3">
      <c r="A72" s="2">
        <v>45755</v>
      </c>
      <c r="B72" t="s">
        <v>78</v>
      </c>
      <c r="C72" t="s">
        <v>508</v>
      </c>
      <c r="D72" t="s">
        <v>515</v>
      </c>
      <c r="E72">
        <v>15</v>
      </c>
      <c r="F72">
        <v>100.34</v>
      </c>
      <c r="G72">
        <v>61.7</v>
      </c>
      <c r="H72">
        <v>1505.1</v>
      </c>
      <c r="I72">
        <f t="shared" si="1"/>
        <v>579.59999999999991</v>
      </c>
    </row>
    <row r="73" spans="1:9" x14ac:dyDescent="0.3">
      <c r="A73" s="2">
        <v>45761</v>
      </c>
      <c r="B73" t="s">
        <v>79</v>
      </c>
      <c r="C73" t="s">
        <v>509</v>
      </c>
      <c r="D73" t="s">
        <v>511</v>
      </c>
      <c r="E73">
        <v>8</v>
      </c>
      <c r="F73">
        <v>1482.52</v>
      </c>
      <c r="G73">
        <v>1165.46</v>
      </c>
      <c r="H73">
        <v>11860.16</v>
      </c>
      <c r="I73">
        <f t="shared" si="1"/>
        <v>2536.4799999999996</v>
      </c>
    </row>
    <row r="74" spans="1:9" x14ac:dyDescent="0.3">
      <c r="A74" s="2">
        <v>45788</v>
      </c>
      <c r="B74" t="s">
        <v>80</v>
      </c>
      <c r="C74" t="s">
        <v>508</v>
      </c>
      <c r="D74" t="s">
        <v>511</v>
      </c>
      <c r="E74">
        <v>12</v>
      </c>
      <c r="F74">
        <v>1120.43</v>
      </c>
      <c r="G74">
        <v>672.46</v>
      </c>
      <c r="H74">
        <v>13445.16</v>
      </c>
      <c r="I74">
        <f t="shared" si="1"/>
        <v>5375.6399999999994</v>
      </c>
    </row>
    <row r="75" spans="1:9" x14ac:dyDescent="0.3">
      <c r="A75" s="2">
        <v>45820</v>
      </c>
      <c r="B75" t="s">
        <v>81</v>
      </c>
      <c r="C75" t="s">
        <v>507</v>
      </c>
      <c r="D75" t="s">
        <v>512</v>
      </c>
      <c r="E75">
        <v>6</v>
      </c>
      <c r="F75">
        <v>244.57</v>
      </c>
      <c r="G75">
        <v>187.52</v>
      </c>
      <c r="H75">
        <v>1467.42</v>
      </c>
      <c r="I75">
        <f t="shared" si="1"/>
        <v>342.29999999999995</v>
      </c>
    </row>
    <row r="76" spans="1:9" x14ac:dyDescent="0.3">
      <c r="A76" s="2">
        <v>45792</v>
      </c>
      <c r="B76" t="s">
        <v>82</v>
      </c>
      <c r="C76" t="s">
        <v>509</v>
      </c>
      <c r="D76" t="s">
        <v>513</v>
      </c>
      <c r="E76">
        <v>1</v>
      </c>
      <c r="F76">
        <v>1013.03</v>
      </c>
      <c r="G76">
        <v>764.36</v>
      </c>
      <c r="H76">
        <v>1013.03</v>
      </c>
      <c r="I76">
        <f t="shared" si="1"/>
        <v>248.66999999999996</v>
      </c>
    </row>
    <row r="77" spans="1:9" x14ac:dyDescent="0.3">
      <c r="A77" s="2">
        <v>45711</v>
      </c>
      <c r="B77" t="s">
        <v>83</v>
      </c>
      <c r="C77" t="s">
        <v>508</v>
      </c>
      <c r="D77" t="s">
        <v>512</v>
      </c>
      <c r="E77">
        <v>6</v>
      </c>
      <c r="F77">
        <v>419.62</v>
      </c>
      <c r="G77">
        <v>359.76</v>
      </c>
      <c r="H77">
        <v>2517.7199999999998</v>
      </c>
      <c r="I77">
        <f t="shared" si="1"/>
        <v>359.15999999999985</v>
      </c>
    </row>
    <row r="78" spans="1:9" x14ac:dyDescent="0.3">
      <c r="A78" s="2">
        <v>45561</v>
      </c>
      <c r="B78" t="s">
        <v>84</v>
      </c>
      <c r="C78" t="s">
        <v>509</v>
      </c>
      <c r="D78" t="s">
        <v>515</v>
      </c>
      <c r="E78">
        <v>10</v>
      </c>
      <c r="F78">
        <v>1754.17</v>
      </c>
      <c r="G78">
        <v>1072.3</v>
      </c>
      <c r="H78">
        <v>17541.7</v>
      </c>
      <c r="I78">
        <f t="shared" si="1"/>
        <v>6818.7000000000007</v>
      </c>
    </row>
    <row r="79" spans="1:9" x14ac:dyDescent="0.3">
      <c r="A79" s="2">
        <v>45678</v>
      </c>
      <c r="B79" t="s">
        <v>85</v>
      </c>
      <c r="C79" t="s">
        <v>509</v>
      </c>
      <c r="D79" t="s">
        <v>513</v>
      </c>
      <c r="E79">
        <v>13</v>
      </c>
      <c r="F79">
        <v>867.51</v>
      </c>
      <c r="G79">
        <v>544.41</v>
      </c>
      <c r="H79">
        <v>11277.63</v>
      </c>
      <c r="I79">
        <f t="shared" si="1"/>
        <v>4200.2999999999993</v>
      </c>
    </row>
    <row r="80" spans="1:9" x14ac:dyDescent="0.3">
      <c r="A80" s="2">
        <v>45770</v>
      </c>
      <c r="B80" t="s">
        <v>86</v>
      </c>
      <c r="C80" t="s">
        <v>510</v>
      </c>
      <c r="D80" t="s">
        <v>514</v>
      </c>
      <c r="E80">
        <v>3</v>
      </c>
      <c r="F80">
        <v>785.9</v>
      </c>
      <c r="G80">
        <v>491.15</v>
      </c>
      <c r="H80">
        <v>2357.6999999999998</v>
      </c>
      <c r="I80">
        <f t="shared" si="1"/>
        <v>884.25</v>
      </c>
    </row>
    <row r="81" spans="1:9" x14ac:dyDescent="0.3">
      <c r="A81" s="2">
        <v>45836</v>
      </c>
      <c r="B81" t="s">
        <v>87</v>
      </c>
      <c r="C81" t="s">
        <v>509</v>
      </c>
      <c r="D81" t="s">
        <v>513</v>
      </c>
      <c r="E81">
        <v>8</v>
      </c>
      <c r="F81">
        <v>885.74</v>
      </c>
      <c r="G81">
        <v>783.35</v>
      </c>
      <c r="H81">
        <v>7085.92</v>
      </c>
      <c r="I81">
        <f t="shared" si="1"/>
        <v>819.11999999999989</v>
      </c>
    </row>
    <row r="82" spans="1:9" x14ac:dyDescent="0.3">
      <c r="A82" s="2">
        <v>45622</v>
      </c>
      <c r="B82" t="s">
        <v>88</v>
      </c>
      <c r="C82" t="s">
        <v>509</v>
      </c>
      <c r="D82" t="s">
        <v>512</v>
      </c>
      <c r="E82">
        <v>13</v>
      </c>
      <c r="F82">
        <v>577.09</v>
      </c>
      <c r="G82">
        <v>431.9</v>
      </c>
      <c r="H82">
        <v>7502.17</v>
      </c>
      <c r="I82">
        <f t="shared" si="1"/>
        <v>1887.4700000000003</v>
      </c>
    </row>
    <row r="83" spans="1:9" x14ac:dyDescent="0.3">
      <c r="A83" s="2">
        <v>45760</v>
      </c>
      <c r="B83" t="s">
        <v>89</v>
      </c>
      <c r="C83" t="s">
        <v>510</v>
      </c>
      <c r="D83" t="s">
        <v>515</v>
      </c>
      <c r="E83">
        <v>14</v>
      </c>
      <c r="F83">
        <v>1118.98</v>
      </c>
      <c r="G83">
        <v>754.78</v>
      </c>
      <c r="H83">
        <v>15665.72</v>
      </c>
      <c r="I83">
        <f t="shared" si="1"/>
        <v>5098.7999999999993</v>
      </c>
    </row>
    <row r="84" spans="1:9" x14ac:dyDescent="0.3">
      <c r="A84" s="2">
        <v>45834</v>
      </c>
      <c r="B84" t="s">
        <v>90</v>
      </c>
      <c r="C84" t="s">
        <v>508</v>
      </c>
      <c r="D84" t="s">
        <v>512</v>
      </c>
      <c r="E84">
        <v>8</v>
      </c>
      <c r="F84">
        <v>1947.82</v>
      </c>
      <c r="G84">
        <v>1187.1400000000001</v>
      </c>
      <c r="H84">
        <v>15582.56</v>
      </c>
      <c r="I84">
        <f t="shared" si="1"/>
        <v>6085.4399999999987</v>
      </c>
    </row>
    <row r="85" spans="1:9" x14ac:dyDescent="0.3">
      <c r="A85" s="2">
        <v>45864</v>
      </c>
      <c r="B85" t="s">
        <v>91</v>
      </c>
      <c r="C85" t="s">
        <v>507</v>
      </c>
      <c r="D85" t="s">
        <v>511</v>
      </c>
      <c r="E85">
        <v>10</v>
      </c>
      <c r="F85">
        <v>1396.24</v>
      </c>
      <c r="G85">
        <v>1224.26</v>
      </c>
      <c r="H85">
        <v>13962.4</v>
      </c>
      <c r="I85">
        <f t="shared" si="1"/>
        <v>1719.7999999999993</v>
      </c>
    </row>
    <row r="86" spans="1:9" x14ac:dyDescent="0.3">
      <c r="A86" s="2">
        <v>45630</v>
      </c>
      <c r="B86" t="s">
        <v>92</v>
      </c>
      <c r="C86" t="s">
        <v>509</v>
      </c>
      <c r="D86" t="s">
        <v>514</v>
      </c>
      <c r="E86">
        <v>19</v>
      </c>
      <c r="F86">
        <v>322.89</v>
      </c>
      <c r="G86">
        <v>229.02</v>
      </c>
      <c r="H86">
        <v>6134.91</v>
      </c>
      <c r="I86">
        <f t="shared" si="1"/>
        <v>1783.5299999999997</v>
      </c>
    </row>
    <row r="87" spans="1:9" x14ac:dyDescent="0.3">
      <c r="A87" s="2">
        <v>45872</v>
      </c>
      <c r="B87" t="s">
        <v>93</v>
      </c>
      <c r="C87" t="s">
        <v>509</v>
      </c>
      <c r="D87" t="s">
        <v>512</v>
      </c>
      <c r="E87">
        <v>6</v>
      </c>
      <c r="F87">
        <v>1277.0999999999999</v>
      </c>
      <c r="G87">
        <v>1010.58</v>
      </c>
      <c r="H87">
        <v>7662.6</v>
      </c>
      <c r="I87">
        <f t="shared" si="1"/>
        <v>1599.12</v>
      </c>
    </row>
    <row r="88" spans="1:9" x14ac:dyDescent="0.3">
      <c r="A88" s="2">
        <v>45895</v>
      </c>
      <c r="B88" t="s">
        <v>94</v>
      </c>
      <c r="C88" t="s">
        <v>507</v>
      </c>
      <c r="D88" t="s">
        <v>515</v>
      </c>
      <c r="E88">
        <v>11</v>
      </c>
      <c r="F88">
        <v>1845.39</v>
      </c>
      <c r="G88">
        <v>1647.42</v>
      </c>
      <c r="H88">
        <v>20299.29</v>
      </c>
      <c r="I88">
        <f t="shared" si="1"/>
        <v>2177.6699999999983</v>
      </c>
    </row>
    <row r="89" spans="1:9" x14ac:dyDescent="0.3">
      <c r="A89" s="2">
        <v>45858</v>
      </c>
      <c r="B89" t="s">
        <v>95</v>
      </c>
      <c r="C89" t="s">
        <v>507</v>
      </c>
      <c r="D89" t="s">
        <v>514</v>
      </c>
      <c r="E89">
        <v>9</v>
      </c>
      <c r="F89">
        <v>907.61</v>
      </c>
      <c r="G89">
        <v>573.46</v>
      </c>
      <c r="H89">
        <v>8168.49</v>
      </c>
      <c r="I89">
        <f t="shared" si="1"/>
        <v>3007.3499999999995</v>
      </c>
    </row>
    <row r="90" spans="1:9" x14ac:dyDescent="0.3">
      <c r="A90" s="2">
        <v>45795</v>
      </c>
      <c r="B90" t="s">
        <v>96</v>
      </c>
      <c r="C90" t="s">
        <v>510</v>
      </c>
      <c r="D90" t="s">
        <v>516</v>
      </c>
      <c r="E90">
        <v>18</v>
      </c>
      <c r="F90">
        <v>427.88</v>
      </c>
      <c r="G90">
        <v>300.26</v>
      </c>
      <c r="H90">
        <v>7701.84</v>
      </c>
      <c r="I90">
        <f t="shared" si="1"/>
        <v>2297.16</v>
      </c>
    </row>
    <row r="91" spans="1:9" x14ac:dyDescent="0.3">
      <c r="A91" s="2">
        <v>45636</v>
      </c>
      <c r="B91" t="s">
        <v>97</v>
      </c>
      <c r="C91" t="s">
        <v>507</v>
      </c>
      <c r="D91" t="s">
        <v>511</v>
      </c>
      <c r="E91">
        <v>16</v>
      </c>
      <c r="F91">
        <v>79.48</v>
      </c>
      <c r="G91">
        <v>57.03</v>
      </c>
      <c r="H91">
        <v>1271.68</v>
      </c>
      <c r="I91">
        <f t="shared" si="1"/>
        <v>359.20000000000005</v>
      </c>
    </row>
    <row r="92" spans="1:9" x14ac:dyDescent="0.3">
      <c r="A92" s="2">
        <v>45914</v>
      </c>
      <c r="B92" t="s">
        <v>98</v>
      </c>
      <c r="C92" t="s">
        <v>509</v>
      </c>
      <c r="D92" t="s">
        <v>512</v>
      </c>
      <c r="E92">
        <v>8</v>
      </c>
      <c r="F92">
        <v>298.95</v>
      </c>
      <c r="G92">
        <v>220.37</v>
      </c>
      <c r="H92">
        <v>2391.6</v>
      </c>
      <c r="I92">
        <f t="shared" si="1"/>
        <v>628.63999999999987</v>
      </c>
    </row>
    <row r="93" spans="1:9" x14ac:dyDescent="0.3">
      <c r="A93" s="2">
        <v>45647</v>
      </c>
      <c r="B93" t="s">
        <v>99</v>
      </c>
      <c r="C93" t="s">
        <v>508</v>
      </c>
      <c r="D93" t="s">
        <v>514</v>
      </c>
      <c r="E93">
        <v>10</v>
      </c>
      <c r="F93">
        <v>1297.3499999999999</v>
      </c>
      <c r="G93">
        <v>1140.24</v>
      </c>
      <c r="H93">
        <v>12973.5</v>
      </c>
      <c r="I93">
        <f t="shared" si="1"/>
        <v>1571.1000000000004</v>
      </c>
    </row>
    <row r="94" spans="1:9" x14ac:dyDescent="0.3">
      <c r="A94" s="2">
        <v>45691</v>
      </c>
      <c r="B94" t="s">
        <v>100</v>
      </c>
      <c r="C94" t="s">
        <v>508</v>
      </c>
      <c r="D94" t="s">
        <v>511</v>
      </c>
      <c r="E94">
        <v>2</v>
      </c>
      <c r="F94">
        <v>83.38</v>
      </c>
      <c r="G94">
        <v>60.64</v>
      </c>
      <c r="H94">
        <v>166.76</v>
      </c>
      <c r="I94">
        <f t="shared" si="1"/>
        <v>45.47999999999999</v>
      </c>
    </row>
    <row r="95" spans="1:9" x14ac:dyDescent="0.3">
      <c r="A95" s="2">
        <v>45703</v>
      </c>
      <c r="B95" t="s">
        <v>101</v>
      </c>
      <c r="C95" t="s">
        <v>507</v>
      </c>
      <c r="D95" t="s">
        <v>513</v>
      </c>
      <c r="E95">
        <v>1</v>
      </c>
      <c r="F95">
        <v>1792.78</v>
      </c>
      <c r="G95">
        <v>1253.31</v>
      </c>
      <c r="H95">
        <v>1792.78</v>
      </c>
      <c r="I95">
        <f t="shared" si="1"/>
        <v>539.47</v>
      </c>
    </row>
    <row r="96" spans="1:9" x14ac:dyDescent="0.3">
      <c r="A96" s="2">
        <v>45599</v>
      </c>
      <c r="B96" t="s">
        <v>102</v>
      </c>
      <c r="C96" t="s">
        <v>509</v>
      </c>
      <c r="D96" t="s">
        <v>515</v>
      </c>
      <c r="E96">
        <v>6</v>
      </c>
      <c r="F96">
        <v>377.06</v>
      </c>
      <c r="G96">
        <v>236.68</v>
      </c>
      <c r="H96">
        <v>2262.36</v>
      </c>
      <c r="I96">
        <f t="shared" si="1"/>
        <v>842.2800000000002</v>
      </c>
    </row>
    <row r="97" spans="1:9" x14ac:dyDescent="0.3">
      <c r="A97" s="2">
        <v>45654</v>
      </c>
      <c r="B97" t="s">
        <v>103</v>
      </c>
      <c r="C97" t="s">
        <v>509</v>
      </c>
      <c r="D97" t="s">
        <v>512</v>
      </c>
      <c r="E97">
        <v>1</v>
      </c>
      <c r="F97">
        <v>1805.8</v>
      </c>
      <c r="G97">
        <v>1112.4100000000001</v>
      </c>
      <c r="H97">
        <v>1805.8</v>
      </c>
      <c r="I97">
        <f t="shared" si="1"/>
        <v>693.38999999999987</v>
      </c>
    </row>
    <row r="98" spans="1:9" x14ac:dyDescent="0.3">
      <c r="A98" s="2">
        <v>45891</v>
      </c>
      <c r="B98" t="s">
        <v>104</v>
      </c>
      <c r="C98" t="s">
        <v>508</v>
      </c>
      <c r="D98" t="s">
        <v>515</v>
      </c>
      <c r="E98">
        <v>19</v>
      </c>
      <c r="F98">
        <v>108.44</v>
      </c>
      <c r="G98">
        <v>97.21</v>
      </c>
      <c r="H98">
        <v>2060.36</v>
      </c>
      <c r="I98">
        <f t="shared" si="1"/>
        <v>213.37000000000035</v>
      </c>
    </row>
    <row r="99" spans="1:9" x14ac:dyDescent="0.3">
      <c r="A99" s="2">
        <v>45619</v>
      </c>
      <c r="B99" t="s">
        <v>105</v>
      </c>
      <c r="C99" t="s">
        <v>508</v>
      </c>
      <c r="D99" t="s">
        <v>514</v>
      </c>
      <c r="E99">
        <v>11</v>
      </c>
      <c r="F99">
        <v>601.29999999999995</v>
      </c>
      <c r="G99">
        <v>404.08</v>
      </c>
      <c r="H99">
        <v>6614.3</v>
      </c>
      <c r="I99">
        <f t="shared" si="1"/>
        <v>2169.42</v>
      </c>
    </row>
    <row r="100" spans="1:9" x14ac:dyDescent="0.3">
      <c r="A100" s="2">
        <v>45909</v>
      </c>
      <c r="B100" t="s">
        <v>106</v>
      </c>
      <c r="C100" t="s">
        <v>508</v>
      </c>
      <c r="D100" t="s">
        <v>512</v>
      </c>
      <c r="E100">
        <v>19</v>
      </c>
      <c r="F100">
        <v>458.19</v>
      </c>
      <c r="G100">
        <v>283.97000000000003</v>
      </c>
      <c r="H100">
        <v>8705.61</v>
      </c>
      <c r="I100">
        <f t="shared" si="1"/>
        <v>3310.1800000000003</v>
      </c>
    </row>
    <row r="101" spans="1:9" x14ac:dyDescent="0.3">
      <c r="A101" s="2">
        <v>45801</v>
      </c>
      <c r="B101" t="s">
        <v>107</v>
      </c>
      <c r="C101" t="s">
        <v>509</v>
      </c>
      <c r="D101" t="s">
        <v>514</v>
      </c>
      <c r="E101">
        <v>8</v>
      </c>
      <c r="F101">
        <v>1780.94</v>
      </c>
      <c r="G101">
        <v>1501.47</v>
      </c>
      <c r="H101">
        <v>14247.52</v>
      </c>
      <c r="I101">
        <f t="shared" si="1"/>
        <v>2235.7600000000002</v>
      </c>
    </row>
    <row r="102" spans="1:9" x14ac:dyDescent="0.3">
      <c r="A102" s="2">
        <v>45832</v>
      </c>
      <c r="B102" t="s">
        <v>108</v>
      </c>
      <c r="C102" t="s">
        <v>509</v>
      </c>
      <c r="D102" t="s">
        <v>513</v>
      </c>
      <c r="E102">
        <v>7</v>
      </c>
      <c r="F102">
        <v>1849.45</v>
      </c>
      <c r="G102">
        <v>1340.52</v>
      </c>
      <c r="H102">
        <v>12946.15</v>
      </c>
      <c r="I102">
        <f t="shared" si="1"/>
        <v>3562.51</v>
      </c>
    </row>
    <row r="103" spans="1:9" x14ac:dyDescent="0.3">
      <c r="A103" s="2">
        <v>45618</v>
      </c>
      <c r="B103" t="s">
        <v>109</v>
      </c>
      <c r="C103" t="s">
        <v>510</v>
      </c>
      <c r="D103" t="s">
        <v>515</v>
      </c>
      <c r="E103">
        <v>18</v>
      </c>
      <c r="F103">
        <v>367.66</v>
      </c>
      <c r="G103">
        <v>325.31</v>
      </c>
      <c r="H103">
        <v>6617.88</v>
      </c>
      <c r="I103">
        <f t="shared" si="1"/>
        <v>762.30000000000018</v>
      </c>
    </row>
    <row r="104" spans="1:9" x14ac:dyDescent="0.3">
      <c r="A104" s="2">
        <v>45671</v>
      </c>
      <c r="B104" t="s">
        <v>110</v>
      </c>
      <c r="C104" t="s">
        <v>510</v>
      </c>
      <c r="D104" t="s">
        <v>511</v>
      </c>
      <c r="E104">
        <v>12</v>
      </c>
      <c r="F104">
        <v>850.69</v>
      </c>
      <c r="G104">
        <v>682.69</v>
      </c>
      <c r="H104">
        <v>10208.280000000001</v>
      </c>
      <c r="I104">
        <f t="shared" si="1"/>
        <v>2016</v>
      </c>
    </row>
    <row r="105" spans="1:9" x14ac:dyDescent="0.3">
      <c r="A105" s="2">
        <v>45888</v>
      </c>
      <c r="B105" t="s">
        <v>111</v>
      </c>
      <c r="C105" t="s">
        <v>508</v>
      </c>
      <c r="D105" t="s">
        <v>516</v>
      </c>
      <c r="E105">
        <v>7</v>
      </c>
      <c r="F105">
        <v>566.22</v>
      </c>
      <c r="G105">
        <v>377.02</v>
      </c>
      <c r="H105">
        <v>3963.54</v>
      </c>
      <c r="I105">
        <f t="shared" si="1"/>
        <v>1324.4</v>
      </c>
    </row>
    <row r="106" spans="1:9" x14ac:dyDescent="0.3">
      <c r="A106" s="2">
        <v>45911</v>
      </c>
      <c r="B106" t="s">
        <v>112</v>
      </c>
      <c r="C106" t="s">
        <v>510</v>
      </c>
      <c r="D106" t="s">
        <v>511</v>
      </c>
      <c r="E106">
        <v>14</v>
      </c>
      <c r="F106">
        <v>71.06</v>
      </c>
      <c r="G106">
        <v>61.76</v>
      </c>
      <c r="H106">
        <v>994.84</v>
      </c>
      <c r="I106">
        <f t="shared" si="1"/>
        <v>130.20000000000005</v>
      </c>
    </row>
    <row r="107" spans="1:9" x14ac:dyDescent="0.3">
      <c r="A107" s="2">
        <v>45809</v>
      </c>
      <c r="B107" t="s">
        <v>113</v>
      </c>
      <c r="C107" t="s">
        <v>508</v>
      </c>
      <c r="D107" t="s">
        <v>513</v>
      </c>
      <c r="E107">
        <v>10</v>
      </c>
      <c r="F107">
        <v>712.94</v>
      </c>
      <c r="G107">
        <v>639.14</v>
      </c>
      <c r="H107">
        <v>7129.4</v>
      </c>
      <c r="I107">
        <f t="shared" si="1"/>
        <v>738</v>
      </c>
    </row>
    <row r="108" spans="1:9" x14ac:dyDescent="0.3">
      <c r="A108" s="2">
        <v>45760</v>
      </c>
      <c r="B108" t="s">
        <v>114</v>
      </c>
      <c r="C108" t="s">
        <v>508</v>
      </c>
      <c r="D108" t="s">
        <v>511</v>
      </c>
      <c r="E108">
        <v>3</v>
      </c>
      <c r="F108">
        <v>375.07</v>
      </c>
      <c r="G108">
        <v>337.2</v>
      </c>
      <c r="H108">
        <v>1125.21</v>
      </c>
      <c r="I108">
        <f t="shared" si="1"/>
        <v>113.61000000000013</v>
      </c>
    </row>
    <row r="109" spans="1:9" x14ac:dyDescent="0.3">
      <c r="A109" s="2">
        <v>45837</v>
      </c>
      <c r="B109" t="s">
        <v>115</v>
      </c>
      <c r="C109" t="s">
        <v>510</v>
      </c>
      <c r="D109" t="s">
        <v>514</v>
      </c>
      <c r="E109">
        <v>15</v>
      </c>
      <c r="F109">
        <v>1948.11</v>
      </c>
      <c r="G109">
        <v>1522.2</v>
      </c>
      <c r="H109">
        <v>29221.65</v>
      </c>
      <c r="I109">
        <f t="shared" si="1"/>
        <v>6388.6500000000015</v>
      </c>
    </row>
    <row r="110" spans="1:9" x14ac:dyDescent="0.3">
      <c r="A110" s="2">
        <v>45779</v>
      </c>
      <c r="B110" t="s">
        <v>116</v>
      </c>
      <c r="C110" t="s">
        <v>508</v>
      </c>
      <c r="D110" t="s">
        <v>513</v>
      </c>
      <c r="E110">
        <v>17</v>
      </c>
      <c r="F110">
        <v>529.49</v>
      </c>
      <c r="G110">
        <v>397.72</v>
      </c>
      <c r="H110">
        <v>9001.33</v>
      </c>
      <c r="I110">
        <f t="shared" si="1"/>
        <v>2240.0899999999992</v>
      </c>
    </row>
    <row r="111" spans="1:9" x14ac:dyDescent="0.3">
      <c r="A111" s="2">
        <v>45864</v>
      </c>
      <c r="B111" t="s">
        <v>117</v>
      </c>
      <c r="C111" t="s">
        <v>508</v>
      </c>
      <c r="D111" t="s">
        <v>516</v>
      </c>
      <c r="E111">
        <v>9</v>
      </c>
      <c r="F111">
        <v>952.62</v>
      </c>
      <c r="G111">
        <v>728.29</v>
      </c>
      <c r="H111">
        <v>8573.58</v>
      </c>
      <c r="I111">
        <f t="shared" si="1"/>
        <v>2018.9700000000003</v>
      </c>
    </row>
    <row r="112" spans="1:9" x14ac:dyDescent="0.3">
      <c r="A112" s="2">
        <v>45751</v>
      </c>
      <c r="B112" t="s">
        <v>118</v>
      </c>
      <c r="C112" t="s">
        <v>510</v>
      </c>
      <c r="D112" t="s">
        <v>515</v>
      </c>
      <c r="E112">
        <v>5</v>
      </c>
      <c r="F112">
        <v>1122.3699999999999</v>
      </c>
      <c r="G112">
        <v>1004.44</v>
      </c>
      <c r="H112">
        <v>5611.85</v>
      </c>
      <c r="I112">
        <f t="shared" si="1"/>
        <v>589.64999999999964</v>
      </c>
    </row>
    <row r="113" spans="1:9" x14ac:dyDescent="0.3">
      <c r="A113" s="2">
        <v>45596</v>
      </c>
      <c r="B113" t="s">
        <v>119</v>
      </c>
      <c r="C113" t="s">
        <v>510</v>
      </c>
      <c r="D113" t="s">
        <v>511</v>
      </c>
      <c r="E113">
        <v>5</v>
      </c>
      <c r="F113">
        <v>1507.82</v>
      </c>
      <c r="G113">
        <v>1147.46</v>
      </c>
      <c r="H113">
        <v>7539.1</v>
      </c>
      <c r="I113">
        <f t="shared" si="1"/>
        <v>1801.8000000000002</v>
      </c>
    </row>
    <row r="114" spans="1:9" x14ac:dyDescent="0.3">
      <c r="A114" s="2">
        <v>45582</v>
      </c>
      <c r="B114" t="s">
        <v>120</v>
      </c>
      <c r="C114" t="s">
        <v>507</v>
      </c>
      <c r="D114" t="s">
        <v>514</v>
      </c>
      <c r="E114">
        <v>20</v>
      </c>
      <c r="F114">
        <v>86.86</v>
      </c>
      <c r="G114">
        <v>74.2</v>
      </c>
      <c r="H114">
        <v>1737.2</v>
      </c>
      <c r="I114">
        <f t="shared" si="1"/>
        <v>253.20000000000005</v>
      </c>
    </row>
    <row r="115" spans="1:9" x14ac:dyDescent="0.3">
      <c r="A115" s="2">
        <v>45651</v>
      </c>
      <c r="B115" t="s">
        <v>121</v>
      </c>
      <c r="C115" t="s">
        <v>508</v>
      </c>
      <c r="D115" t="s">
        <v>516</v>
      </c>
      <c r="E115">
        <v>4</v>
      </c>
      <c r="F115">
        <v>1865.37</v>
      </c>
      <c r="G115">
        <v>1183.9000000000001</v>
      </c>
      <c r="H115">
        <v>7461.48</v>
      </c>
      <c r="I115">
        <f t="shared" si="1"/>
        <v>2725.8799999999992</v>
      </c>
    </row>
    <row r="116" spans="1:9" x14ac:dyDescent="0.3">
      <c r="A116" s="2">
        <v>45911</v>
      </c>
      <c r="B116" t="s">
        <v>122</v>
      </c>
      <c r="C116" t="s">
        <v>509</v>
      </c>
      <c r="D116" t="s">
        <v>511</v>
      </c>
      <c r="E116">
        <v>17</v>
      </c>
      <c r="F116">
        <v>1044.01</v>
      </c>
      <c r="G116">
        <v>899.06</v>
      </c>
      <c r="H116">
        <v>17748.169999999998</v>
      </c>
      <c r="I116">
        <f t="shared" si="1"/>
        <v>2464.1499999999996</v>
      </c>
    </row>
    <row r="117" spans="1:9" x14ac:dyDescent="0.3">
      <c r="A117" s="2">
        <v>45609</v>
      </c>
      <c r="B117" t="s">
        <v>123</v>
      </c>
      <c r="C117" t="s">
        <v>509</v>
      </c>
      <c r="D117" t="s">
        <v>513</v>
      </c>
      <c r="E117">
        <v>16</v>
      </c>
      <c r="F117">
        <v>1537.27</v>
      </c>
      <c r="G117">
        <v>994.15</v>
      </c>
      <c r="H117">
        <v>24596.32</v>
      </c>
      <c r="I117">
        <f t="shared" si="1"/>
        <v>8689.92</v>
      </c>
    </row>
    <row r="118" spans="1:9" x14ac:dyDescent="0.3">
      <c r="A118" s="2">
        <v>45916</v>
      </c>
      <c r="B118" t="s">
        <v>124</v>
      </c>
      <c r="C118" t="s">
        <v>510</v>
      </c>
      <c r="D118" t="s">
        <v>512</v>
      </c>
      <c r="E118">
        <v>7</v>
      </c>
      <c r="F118">
        <v>1093.22</v>
      </c>
      <c r="G118">
        <v>701.59</v>
      </c>
      <c r="H118">
        <v>7652.54</v>
      </c>
      <c r="I118">
        <f t="shared" si="1"/>
        <v>2741.41</v>
      </c>
    </row>
    <row r="119" spans="1:9" x14ac:dyDescent="0.3">
      <c r="A119" s="2">
        <v>45897</v>
      </c>
      <c r="B119" t="s">
        <v>125</v>
      </c>
      <c r="C119" t="s">
        <v>508</v>
      </c>
      <c r="D119" t="s">
        <v>511</v>
      </c>
      <c r="E119">
        <v>14</v>
      </c>
      <c r="F119">
        <v>520.76</v>
      </c>
      <c r="G119">
        <v>358.65</v>
      </c>
      <c r="H119">
        <v>7290.64</v>
      </c>
      <c r="I119">
        <f t="shared" si="1"/>
        <v>2269.5400000000009</v>
      </c>
    </row>
    <row r="120" spans="1:9" x14ac:dyDescent="0.3">
      <c r="A120" s="2">
        <v>45860</v>
      </c>
      <c r="B120" t="s">
        <v>126</v>
      </c>
      <c r="C120" t="s">
        <v>510</v>
      </c>
      <c r="D120" t="s">
        <v>516</v>
      </c>
      <c r="E120">
        <v>12</v>
      </c>
      <c r="F120">
        <v>900.24</v>
      </c>
      <c r="G120">
        <v>645.39</v>
      </c>
      <c r="H120">
        <v>10802.88</v>
      </c>
      <c r="I120">
        <f t="shared" si="1"/>
        <v>3058.1999999999989</v>
      </c>
    </row>
    <row r="121" spans="1:9" x14ac:dyDescent="0.3">
      <c r="A121" s="2">
        <v>45561</v>
      </c>
      <c r="B121" t="s">
        <v>127</v>
      </c>
      <c r="C121" t="s">
        <v>509</v>
      </c>
      <c r="D121" t="s">
        <v>513</v>
      </c>
      <c r="E121">
        <v>6</v>
      </c>
      <c r="F121">
        <v>1820.76</v>
      </c>
      <c r="G121">
        <v>1297.4000000000001</v>
      </c>
      <c r="H121">
        <v>10924.56</v>
      </c>
      <c r="I121">
        <f t="shared" si="1"/>
        <v>3140.1599999999989</v>
      </c>
    </row>
    <row r="122" spans="1:9" x14ac:dyDescent="0.3">
      <c r="A122" s="2">
        <v>45654</v>
      </c>
      <c r="B122" t="s">
        <v>128</v>
      </c>
      <c r="C122" t="s">
        <v>508</v>
      </c>
      <c r="D122" t="s">
        <v>512</v>
      </c>
      <c r="E122">
        <v>12</v>
      </c>
      <c r="F122">
        <v>1178.01</v>
      </c>
      <c r="G122">
        <v>899.05</v>
      </c>
      <c r="H122">
        <v>14136.12</v>
      </c>
      <c r="I122">
        <f t="shared" si="1"/>
        <v>3347.5200000000023</v>
      </c>
    </row>
    <row r="123" spans="1:9" x14ac:dyDescent="0.3">
      <c r="A123" s="2">
        <v>45796</v>
      </c>
      <c r="B123" t="s">
        <v>129</v>
      </c>
      <c r="C123" t="s">
        <v>509</v>
      </c>
      <c r="D123" t="s">
        <v>513</v>
      </c>
      <c r="E123">
        <v>12</v>
      </c>
      <c r="F123">
        <v>474.68</v>
      </c>
      <c r="G123">
        <v>288.06</v>
      </c>
      <c r="H123">
        <v>5696.16</v>
      </c>
      <c r="I123">
        <f t="shared" si="1"/>
        <v>2239.4399999999996</v>
      </c>
    </row>
    <row r="124" spans="1:9" x14ac:dyDescent="0.3">
      <c r="A124" s="2">
        <v>45637</v>
      </c>
      <c r="B124" t="s">
        <v>130</v>
      </c>
      <c r="C124" t="s">
        <v>510</v>
      </c>
      <c r="D124" t="s">
        <v>516</v>
      </c>
      <c r="E124">
        <v>4</v>
      </c>
      <c r="F124">
        <v>272.52999999999997</v>
      </c>
      <c r="G124">
        <v>220.65</v>
      </c>
      <c r="H124">
        <v>1090.1199999999999</v>
      </c>
      <c r="I124">
        <f t="shared" si="1"/>
        <v>207.51999999999987</v>
      </c>
    </row>
    <row r="125" spans="1:9" x14ac:dyDescent="0.3">
      <c r="A125" s="2">
        <v>45792</v>
      </c>
      <c r="B125" t="s">
        <v>131</v>
      </c>
      <c r="C125" t="s">
        <v>509</v>
      </c>
      <c r="D125" t="s">
        <v>511</v>
      </c>
      <c r="E125">
        <v>5</v>
      </c>
      <c r="F125">
        <v>1321.56</v>
      </c>
      <c r="G125">
        <v>894.08</v>
      </c>
      <c r="H125">
        <v>6607.8</v>
      </c>
      <c r="I125">
        <f t="shared" si="1"/>
        <v>2137.3999999999996</v>
      </c>
    </row>
    <row r="126" spans="1:9" x14ac:dyDescent="0.3">
      <c r="A126" s="2">
        <v>45580</v>
      </c>
      <c r="B126" t="s">
        <v>132</v>
      </c>
      <c r="C126" t="s">
        <v>509</v>
      </c>
      <c r="D126" t="s">
        <v>512</v>
      </c>
      <c r="E126">
        <v>17</v>
      </c>
      <c r="F126">
        <v>902.78</v>
      </c>
      <c r="G126">
        <v>778.91</v>
      </c>
      <c r="H126">
        <v>15347.26</v>
      </c>
      <c r="I126">
        <f t="shared" si="1"/>
        <v>2105.7900000000009</v>
      </c>
    </row>
    <row r="127" spans="1:9" x14ac:dyDescent="0.3">
      <c r="A127" s="2">
        <v>45573</v>
      </c>
      <c r="B127" t="s">
        <v>133</v>
      </c>
      <c r="C127" t="s">
        <v>507</v>
      </c>
      <c r="D127" t="s">
        <v>513</v>
      </c>
      <c r="E127">
        <v>3</v>
      </c>
      <c r="F127">
        <v>1531.99</v>
      </c>
      <c r="G127">
        <v>1131.6500000000001</v>
      </c>
      <c r="H127">
        <v>4595.97</v>
      </c>
      <c r="I127">
        <f t="shared" si="1"/>
        <v>1201.02</v>
      </c>
    </row>
    <row r="128" spans="1:9" x14ac:dyDescent="0.3">
      <c r="A128" s="2">
        <v>45813</v>
      </c>
      <c r="B128" t="s">
        <v>134</v>
      </c>
      <c r="C128" t="s">
        <v>510</v>
      </c>
      <c r="D128" t="s">
        <v>513</v>
      </c>
      <c r="E128">
        <v>7</v>
      </c>
      <c r="F128">
        <v>1188.1500000000001</v>
      </c>
      <c r="G128">
        <v>757.54</v>
      </c>
      <c r="H128">
        <v>8317.0499999999993</v>
      </c>
      <c r="I128">
        <f t="shared" si="1"/>
        <v>3014.2699999999995</v>
      </c>
    </row>
    <row r="129" spans="1:9" x14ac:dyDescent="0.3">
      <c r="A129" s="2">
        <v>45889</v>
      </c>
      <c r="B129" t="s">
        <v>135</v>
      </c>
      <c r="C129" t="s">
        <v>508</v>
      </c>
      <c r="D129" t="s">
        <v>511</v>
      </c>
      <c r="E129">
        <v>18</v>
      </c>
      <c r="F129">
        <v>530.26</v>
      </c>
      <c r="G129">
        <v>427.04</v>
      </c>
      <c r="H129">
        <v>9544.68</v>
      </c>
      <c r="I129">
        <f t="shared" si="1"/>
        <v>1857.96</v>
      </c>
    </row>
    <row r="130" spans="1:9" x14ac:dyDescent="0.3">
      <c r="A130" s="2">
        <v>45838</v>
      </c>
      <c r="B130" t="s">
        <v>136</v>
      </c>
      <c r="C130" t="s">
        <v>507</v>
      </c>
      <c r="D130" t="s">
        <v>514</v>
      </c>
      <c r="E130">
        <v>19</v>
      </c>
      <c r="F130">
        <v>1471.01</v>
      </c>
      <c r="G130">
        <v>1258.5899999999999</v>
      </c>
      <c r="H130">
        <v>27949.19</v>
      </c>
      <c r="I130">
        <f t="shared" si="1"/>
        <v>4035.9799999999996</v>
      </c>
    </row>
    <row r="131" spans="1:9" x14ac:dyDescent="0.3">
      <c r="A131" s="2">
        <v>45672</v>
      </c>
      <c r="B131" t="s">
        <v>137</v>
      </c>
      <c r="C131" t="s">
        <v>508</v>
      </c>
      <c r="D131" t="s">
        <v>512</v>
      </c>
      <c r="E131">
        <v>17</v>
      </c>
      <c r="F131">
        <v>725.88</v>
      </c>
      <c r="G131">
        <v>534.83000000000004</v>
      </c>
      <c r="H131">
        <v>12339.96</v>
      </c>
      <c r="I131">
        <f t="shared" ref="I131:I194" si="2">H131-(G131*E131)</f>
        <v>3247.8499999999985</v>
      </c>
    </row>
    <row r="132" spans="1:9" x14ac:dyDescent="0.3">
      <c r="A132" s="2">
        <v>45886</v>
      </c>
      <c r="B132" t="s">
        <v>138</v>
      </c>
      <c r="C132" t="s">
        <v>508</v>
      </c>
      <c r="D132" t="s">
        <v>512</v>
      </c>
      <c r="E132">
        <v>15</v>
      </c>
      <c r="F132">
        <v>756.4</v>
      </c>
      <c r="G132">
        <v>523.39</v>
      </c>
      <c r="H132">
        <v>11346</v>
      </c>
      <c r="I132">
        <f t="shared" si="2"/>
        <v>3495.1500000000005</v>
      </c>
    </row>
    <row r="133" spans="1:9" x14ac:dyDescent="0.3">
      <c r="A133" s="2">
        <v>45920</v>
      </c>
      <c r="B133" t="s">
        <v>139</v>
      </c>
      <c r="C133" t="s">
        <v>510</v>
      </c>
      <c r="D133" t="s">
        <v>513</v>
      </c>
      <c r="E133">
        <v>12</v>
      </c>
      <c r="F133">
        <v>1055.78</v>
      </c>
      <c r="G133">
        <v>788.76</v>
      </c>
      <c r="H133">
        <v>12669.36</v>
      </c>
      <c r="I133">
        <f t="shared" si="2"/>
        <v>3204.2400000000016</v>
      </c>
    </row>
    <row r="134" spans="1:9" x14ac:dyDescent="0.3">
      <c r="A134" s="2">
        <v>45781</v>
      </c>
      <c r="B134" t="s">
        <v>140</v>
      </c>
      <c r="C134" t="s">
        <v>507</v>
      </c>
      <c r="D134" t="s">
        <v>514</v>
      </c>
      <c r="E134">
        <v>13</v>
      </c>
      <c r="F134">
        <v>491.86</v>
      </c>
      <c r="G134">
        <v>439.09</v>
      </c>
      <c r="H134">
        <v>6394.18</v>
      </c>
      <c r="I134">
        <f t="shared" si="2"/>
        <v>686.01000000000022</v>
      </c>
    </row>
    <row r="135" spans="1:9" x14ac:dyDescent="0.3">
      <c r="A135" s="2">
        <v>45785</v>
      </c>
      <c r="B135" t="s">
        <v>141</v>
      </c>
      <c r="C135" t="s">
        <v>509</v>
      </c>
      <c r="D135" t="s">
        <v>516</v>
      </c>
      <c r="E135">
        <v>10</v>
      </c>
      <c r="F135">
        <v>168.85</v>
      </c>
      <c r="G135">
        <v>141.65</v>
      </c>
      <c r="H135">
        <v>1688.5</v>
      </c>
      <c r="I135">
        <f t="shared" si="2"/>
        <v>272</v>
      </c>
    </row>
    <row r="136" spans="1:9" x14ac:dyDescent="0.3">
      <c r="A136" s="2">
        <v>45593</v>
      </c>
      <c r="B136" t="s">
        <v>142</v>
      </c>
      <c r="C136" t="s">
        <v>510</v>
      </c>
      <c r="D136" t="s">
        <v>511</v>
      </c>
      <c r="E136">
        <v>8</v>
      </c>
      <c r="F136">
        <v>932.05</v>
      </c>
      <c r="G136">
        <v>574.89</v>
      </c>
      <c r="H136">
        <v>7456.4</v>
      </c>
      <c r="I136">
        <f t="shared" si="2"/>
        <v>2857.2799999999997</v>
      </c>
    </row>
    <row r="137" spans="1:9" x14ac:dyDescent="0.3">
      <c r="A137" s="2">
        <v>45782</v>
      </c>
      <c r="B137" t="s">
        <v>143</v>
      </c>
      <c r="C137" t="s">
        <v>509</v>
      </c>
      <c r="D137" t="s">
        <v>512</v>
      </c>
      <c r="E137">
        <v>5</v>
      </c>
      <c r="F137">
        <v>224.82</v>
      </c>
      <c r="G137">
        <v>151.32</v>
      </c>
      <c r="H137">
        <v>1124.0999999999999</v>
      </c>
      <c r="I137">
        <f t="shared" si="2"/>
        <v>367.5</v>
      </c>
    </row>
    <row r="138" spans="1:9" x14ac:dyDescent="0.3">
      <c r="A138" s="2">
        <v>45714</v>
      </c>
      <c r="B138" t="s">
        <v>144</v>
      </c>
      <c r="C138" t="s">
        <v>509</v>
      </c>
      <c r="D138" t="s">
        <v>513</v>
      </c>
      <c r="E138">
        <v>16</v>
      </c>
      <c r="F138">
        <v>385.36</v>
      </c>
      <c r="G138">
        <v>283.64</v>
      </c>
      <c r="H138">
        <v>6165.76</v>
      </c>
      <c r="I138">
        <f t="shared" si="2"/>
        <v>1627.5200000000004</v>
      </c>
    </row>
    <row r="139" spans="1:9" x14ac:dyDescent="0.3">
      <c r="A139" s="2">
        <v>45621</v>
      </c>
      <c r="B139" t="s">
        <v>145</v>
      </c>
      <c r="C139" t="s">
        <v>510</v>
      </c>
      <c r="D139" t="s">
        <v>512</v>
      </c>
      <c r="E139">
        <v>7</v>
      </c>
      <c r="F139">
        <v>481.96</v>
      </c>
      <c r="G139">
        <v>374.09</v>
      </c>
      <c r="H139">
        <v>3373.72</v>
      </c>
      <c r="I139">
        <f t="shared" si="2"/>
        <v>755.09000000000015</v>
      </c>
    </row>
    <row r="140" spans="1:9" x14ac:dyDescent="0.3">
      <c r="A140" s="2">
        <v>45759</v>
      </c>
      <c r="B140" t="s">
        <v>146</v>
      </c>
      <c r="C140" t="s">
        <v>508</v>
      </c>
      <c r="D140" t="s">
        <v>515</v>
      </c>
      <c r="E140">
        <v>6</v>
      </c>
      <c r="F140">
        <v>887.22</v>
      </c>
      <c r="G140">
        <v>701.92</v>
      </c>
      <c r="H140">
        <v>5323.32</v>
      </c>
      <c r="I140">
        <f t="shared" si="2"/>
        <v>1111.8000000000002</v>
      </c>
    </row>
    <row r="141" spans="1:9" x14ac:dyDescent="0.3">
      <c r="A141" s="2">
        <v>45742</v>
      </c>
      <c r="B141" t="s">
        <v>147</v>
      </c>
      <c r="C141" t="s">
        <v>510</v>
      </c>
      <c r="D141" t="s">
        <v>511</v>
      </c>
      <c r="E141">
        <v>5</v>
      </c>
      <c r="F141">
        <v>234.36</v>
      </c>
      <c r="G141">
        <v>143.37</v>
      </c>
      <c r="H141">
        <v>1171.8</v>
      </c>
      <c r="I141">
        <f t="shared" si="2"/>
        <v>454.94999999999993</v>
      </c>
    </row>
    <row r="142" spans="1:9" x14ac:dyDescent="0.3">
      <c r="A142" s="2">
        <v>45895</v>
      </c>
      <c r="B142" t="s">
        <v>148</v>
      </c>
      <c r="C142" t="s">
        <v>509</v>
      </c>
      <c r="D142" t="s">
        <v>512</v>
      </c>
      <c r="E142">
        <v>9</v>
      </c>
      <c r="F142">
        <v>1199.8699999999999</v>
      </c>
      <c r="G142">
        <v>754.75</v>
      </c>
      <c r="H142">
        <v>10798.83</v>
      </c>
      <c r="I142">
        <f t="shared" si="2"/>
        <v>4006.08</v>
      </c>
    </row>
    <row r="143" spans="1:9" x14ac:dyDescent="0.3">
      <c r="A143" s="2">
        <v>45848</v>
      </c>
      <c r="B143" t="s">
        <v>149</v>
      </c>
      <c r="C143" t="s">
        <v>509</v>
      </c>
      <c r="D143" t="s">
        <v>516</v>
      </c>
      <c r="E143">
        <v>20</v>
      </c>
      <c r="F143">
        <v>1415.52</v>
      </c>
      <c r="G143">
        <v>937.37</v>
      </c>
      <c r="H143">
        <v>28310.400000000001</v>
      </c>
      <c r="I143">
        <f t="shared" si="2"/>
        <v>9563</v>
      </c>
    </row>
    <row r="144" spans="1:9" x14ac:dyDescent="0.3">
      <c r="A144" s="2">
        <v>45703</v>
      </c>
      <c r="B144" t="s">
        <v>150</v>
      </c>
      <c r="C144" t="s">
        <v>510</v>
      </c>
      <c r="D144" t="s">
        <v>516</v>
      </c>
      <c r="E144">
        <v>8</v>
      </c>
      <c r="F144">
        <v>1710.73</v>
      </c>
      <c r="G144">
        <v>1379.71</v>
      </c>
      <c r="H144">
        <v>13685.84</v>
      </c>
      <c r="I144">
        <f t="shared" si="2"/>
        <v>2648.16</v>
      </c>
    </row>
    <row r="145" spans="1:9" x14ac:dyDescent="0.3">
      <c r="A145" s="2">
        <v>45823</v>
      </c>
      <c r="B145" t="s">
        <v>151</v>
      </c>
      <c r="C145" t="s">
        <v>510</v>
      </c>
      <c r="D145" t="s">
        <v>516</v>
      </c>
      <c r="E145">
        <v>17</v>
      </c>
      <c r="F145">
        <v>568.91</v>
      </c>
      <c r="G145">
        <v>429.99</v>
      </c>
      <c r="H145">
        <v>9671.4699999999993</v>
      </c>
      <c r="I145">
        <f t="shared" si="2"/>
        <v>2361.6399999999994</v>
      </c>
    </row>
    <row r="146" spans="1:9" x14ac:dyDescent="0.3">
      <c r="A146" s="2">
        <v>45824</v>
      </c>
      <c r="B146" t="s">
        <v>152</v>
      </c>
      <c r="C146" t="s">
        <v>509</v>
      </c>
      <c r="D146" t="s">
        <v>514</v>
      </c>
      <c r="E146">
        <v>18</v>
      </c>
      <c r="F146">
        <v>1982.03</v>
      </c>
      <c r="G146">
        <v>1716.48</v>
      </c>
      <c r="H146">
        <v>35676.54</v>
      </c>
      <c r="I146">
        <f t="shared" si="2"/>
        <v>4779.9000000000015</v>
      </c>
    </row>
    <row r="147" spans="1:9" x14ac:dyDescent="0.3">
      <c r="A147" s="2">
        <v>45708</v>
      </c>
      <c r="B147" t="s">
        <v>153</v>
      </c>
      <c r="C147" t="s">
        <v>509</v>
      </c>
      <c r="D147" t="s">
        <v>513</v>
      </c>
      <c r="E147">
        <v>4</v>
      </c>
      <c r="F147">
        <v>1300.6099999999999</v>
      </c>
      <c r="G147">
        <v>824.58</v>
      </c>
      <c r="H147">
        <v>5202.4399999999996</v>
      </c>
      <c r="I147">
        <f t="shared" si="2"/>
        <v>1904.1199999999994</v>
      </c>
    </row>
    <row r="148" spans="1:9" x14ac:dyDescent="0.3">
      <c r="A148" s="2">
        <v>45585</v>
      </c>
      <c r="B148" t="s">
        <v>154</v>
      </c>
      <c r="C148" t="s">
        <v>509</v>
      </c>
      <c r="D148" t="s">
        <v>516</v>
      </c>
      <c r="E148">
        <v>13</v>
      </c>
      <c r="F148">
        <v>942.79</v>
      </c>
      <c r="G148">
        <v>742.84</v>
      </c>
      <c r="H148">
        <v>12256.27</v>
      </c>
      <c r="I148">
        <f t="shared" si="2"/>
        <v>2599.3500000000004</v>
      </c>
    </row>
    <row r="149" spans="1:9" x14ac:dyDescent="0.3">
      <c r="A149" s="2">
        <v>45611</v>
      </c>
      <c r="B149" t="s">
        <v>155</v>
      </c>
      <c r="C149" t="s">
        <v>507</v>
      </c>
      <c r="D149" t="s">
        <v>515</v>
      </c>
      <c r="E149">
        <v>1</v>
      </c>
      <c r="F149">
        <v>297.7</v>
      </c>
      <c r="G149">
        <v>232.79</v>
      </c>
      <c r="H149">
        <v>297.7</v>
      </c>
      <c r="I149">
        <f t="shared" si="2"/>
        <v>64.91</v>
      </c>
    </row>
    <row r="150" spans="1:9" x14ac:dyDescent="0.3">
      <c r="A150" s="2">
        <v>45901</v>
      </c>
      <c r="B150" t="s">
        <v>156</v>
      </c>
      <c r="C150" t="s">
        <v>508</v>
      </c>
      <c r="D150" t="s">
        <v>512</v>
      </c>
      <c r="E150">
        <v>9</v>
      </c>
      <c r="F150">
        <v>501.9</v>
      </c>
      <c r="G150">
        <v>383.73</v>
      </c>
      <c r="H150">
        <v>4517.1000000000004</v>
      </c>
      <c r="I150">
        <f t="shared" si="2"/>
        <v>1063.5300000000002</v>
      </c>
    </row>
    <row r="151" spans="1:9" x14ac:dyDescent="0.3">
      <c r="A151" s="2">
        <v>45651</v>
      </c>
      <c r="B151" t="s">
        <v>157</v>
      </c>
      <c r="C151" t="s">
        <v>508</v>
      </c>
      <c r="D151" t="s">
        <v>514</v>
      </c>
      <c r="E151">
        <v>4</v>
      </c>
      <c r="F151">
        <v>1382.66</v>
      </c>
      <c r="G151">
        <v>1157.45</v>
      </c>
      <c r="H151">
        <v>5530.64</v>
      </c>
      <c r="I151">
        <f t="shared" si="2"/>
        <v>900.84000000000015</v>
      </c>
    </row>
    <row r="152" spans="1:9" x14ac:dyDescent="0.3">
      <c r="A152" s="2">
        <v>45911</v>
      </c>
      <c r="B152" t="s">
        <v>158</v>
      </c>
      <c r="C152" t="s">
        <v>510</v>
      </c>
      <c r="D152" t="s">
        <v>514</v>
      </c>
      <c r="E152">
        <v>13</v>
      </c>
      <c r="F152">
        <v>1016.69</v>
      </c>
      <c r="G152">
        <v>775.89</v>
      </c>
      <c r="H152">
        <v>13216.97</v>
      </c>
      <c r="I152">
        <f t="shared" si="2"/>
        <v>3130.3999999999996</v>
      </c>
    </row>
    <row r="153" spans="1:9" x14ac:dyDescent="0.3">
      <c r="A153" s="2">
        <v>45563</v>
      </c>
      <c r="B153" t="s">
        <v>159</v>
      </c>
      <c r="C153" t="s">
        <v>508</v>
      </c>
      <c r="D153" t="s">
        <v>515</v>
      </c>
      <c r="E153">
        <v>1</v>
      </c>
      <c r="F153">
        <v>919.98</v>
      </c>
      <c r="G153">
        <v>803.86</v>
      </c>
      <c r="H153">
        <v>919.98</v>
      </c>
      <c r="I153">
        <f t="shared" si="2"/>
        <v>116.12</v>
      </c>
    </row>
    <row r="154" spans="1:9" x14ac:dyDescent="0.3">
      <c r="A154" s="2">
        <v>45729</v>
      </c>
      <c r="B154" t="s">
        <v>160</v>
      </c>
      <c r="C154" t="s">
        <v>510</v>
      </c>
      <c r="D154" t="s">
        <v>511</v>
      </c>
      <c r="E154">
        <v>6</v>
      </c>
      <c r="F154">
        <v>920.23</v>
      </c>
      <c r="G154">
        <v>554.41</v>
      </c>
      <c r="H154">
        <v>5521.38</v>
      </c>
      <c r="I154">
        <f t="shared" si="2"/>
        <v>2194.92</v>
      </c>
    </row>
    <row r="155" spans="1:9" x14ac:dyDescent="0.3">
      <c r="A155" s="2">
        <v>45742</v>
      </c>
      <c r="B155" t="s">
        <v>161</v>
      </c>
      <c r="C155" t="s">
        <v>510</v>
      </c>
      <c r="D155" t="s">
        <v>513</v>
      </c>
      <c r="E155">
        <v>20</v>
      </c>
      <c r="F155">
        <v>1325.59</v>
      </c>
      <c r="G155">
        <v>1113.03</v>
      </c>
      <c r="H155">
        <v>26511.8</v>
      </c>
      <c r="I155">
        <f t="shared" si="2"/>
        <v>4251.2000000000007</v>
      </c>
    </row>
    <row r="156" spans="1:9" x14ac:dyDescent="0.3">
      <c r="A156" s="2">
        <v>45686</v>
      </c>
      <c r="B156" t="s">
        <v>162</v>
      </c>
      <c r="C156" t="s">
        <v>510</v>
      </c>
      <c r="D156" t="s">
        <v>512</v>
      </c>
      <c r="E156">
        <v>14</v>
      </c>
      <c r="F156">
        <v>468.78</v>
      </c>
      <c r="G156">
        <v>367.94</v>
      </c>
      <c r="H156">
        <v>6562.92</v>
      </c>
      <c r="I156">
        <f t="shared" si="2"/>
        <v>1411.7600000000002</v>
      </c>
    </row>
    <row r="157" spans="1:9" x14ac:dyDescent="0.3">
      <c r="A157" s="2">
        <v>45687</v>
      </c>
      <c r="B157" t="s">
        <v>163</v>
      </c>
      <c r="C157" t="s">
        <v>508</v>
      </c>
      <c r="D157" t="s">
        <v>511</v>
      </c>
      <c r="E157">
        <v>3</v>
      </c>
      <c r="F157">
        <v>944.62</v>
      </c>
      <c r="G157">
        <v>696.78</v>
      </c>
      <c r="H157">
        <v>2833.86</v>
      </c>
      <c r="I157">
        <f t="shared" si="2"/>
        <v>743.52</v>
      </c>
    </row>
    <row r="158" spans="1:9" x14ac:dyDescent="0.3">
      <c r="A158" s="2">
        <v>45918</v>
      </c>
      <c r="B158" t="s">
        <v>164</v>
      </c>
      <c r="C158" t="s">
        <v>510</v>
      </c>
      <c r="D158" t="s">
        <v>511</v>
      </c>
      <c r="E158">
        <v>7</v>
      </c>
      <c r="F158">
        <v>1264.49</v>
      </c>
      <c r="G158">
        <v>1029.25</v>
      </c>
      <c r="H158">
        <v>8851.43</v>
      </c>
      <c r="I158">
        <f t="shared" si="2"/>
        <v>1646.6800000000003</v>
      </c>
    </row>
    <row r="159" spans="1:9" x14ac:dyDescent="0.3">
      <c r="A159" s="2">
        <v>45849</v>
      </c>
      <c r="B159" t="s">
        <v>165</v>
      </c>
      <c r="C159" t="s">
        <v>507</v>
      </c>
      <c r="D159" t="s">
        <v>515</v>
      </c>
      <c r="E159">
        <v>9</v>
      </c>
      <c r="F159">
        <v>1771.79</v>
      </c>
      <c r="G159">
        <v>1098.97</v>
      </c>
      <c r="H159">
        <v>15946.11</v>
      </c>
      <c r="I159">
        <f t="shared" si="2"/>
        <v>6055.380000000001</v>
      </c>
    </row>
    <row r="160" spans="1:9" x14ac:dyDescent="0.3">
      <c r="A160" s="2">
        <v>45623</v>
      </c>
      <c r="B160" t="s">
        <v>166</v>
      </c>
      <c r="C160" t="s">
        <v>508</v>
      </c>
      <c r="D160" t="s">
        <v>514</v>
      </c>
      <c r="E160">
        <v>2</v>
      </c>
      <c r="F160">
        <v>1599.06</v>
      </c>
      <c r="G160">
        <v>1313.25</v>
      </c>
      <c r="H160">
        <v>3198.12</v>
      </c>
      <c r="I160">
        <f t="shared" si="2"/>
        <v>571.61999999999989</v>
      </c>
    </row>
    <row r="161" spans="1:9" x14ac:dyDescent="0.3">
      <c r="A161" s="2">
        <v>45912</v>
      </c>
      <c r="B161" t="s">
        <v>167</v>
      </c>
      <c r="C161" t="s">
        <v>509</v>
      </c>
      <c r="D161" t="s">
        <v>515</v>
      </c>
      <c r="E161">
        <v>13</v>
      </c>
      <c r="F161">
        <v>1564.29</v>
      </c>
      <c r="G161">
        <v>1072.18</v>
      </c>
      <c r="H161">
        <v>20335.77</v>
      </c>
      <c r="I161">
        <f t="shared" si="2"/>
        <v>6397.43</v>
      </c>
    </row>
    <row r="162" spans="1:9" x14ac:dyDescent="0.3">
      <c r="A162" s="2">
        <v>45727</v>
      </c>
      <c r="B162" t="s">
        <v>168</v>
      </c>
      <c r="C162" t="s">
        <v>507</v>
      </c>
      <c r="D162" t="s">
        <v>513</v>
      </c>
      <c r="E162">
        <v>2</v>
      </c>
      <c r="F162">
        <v>1052.98</v>
      </c>
      <c r="G162">
        <v>783.78</v>
      </c>
      <c r="H162">
        <v>2105.96</v>
      </c>
      <c r="I162">
        <f t="shared" si="2"/>
        <v>538.40000000000009</v>
      </c>
    </row>
    <row r="163" spans="1:9" x14ac:dyDescent="0.3">
      <c r="A163" s="2">
        <v>45820</v>
      </c>
      <c r="B163" t="s">
        <v>169</v>
      </c>
      <c r="C163" t="s">
        <v>510</v>
      </c>
      <c r="D163" t="s">
        <v>514</v>
      </c>
      <c r="E163">
        <v>17</v>
      </c>
      <c r="F163">
        <v>1425.19</v>
      </c>
      <c r="G163">
        <v>960.73</v>
      </c>
      <c r="H163">
        <v>24228.23</v>
      </c>
      <c r="I163">
        <f t="shared" si="2"/>
        <v>7895.82</v>
      </c>
    </row>
    <row r="164" spans="1:9" x14ac:dyDescent="0.3">
      <c r="A164" s="2">
        <v>45739</v>
      </c>
      <c r="B164" t="s">
        <v>170</v>
      </c>
      <c r="C164" t="s">
        <v>507</v>
      </c>
      <c r="D164" t="s">
        <v>511</v>
      </c>
      <c r="E164">
        <v>10</v>
      </c>
      <c r="F164">
        <v>1141.97</v>
      </c>
      <c r="G164">
        <v>804.62</v>
      </c>
      <c r="H164">
        <v>11419.7</v>
      </c>
      <c r="I164">
        <f t="shared" si="2"/>
        <v>3373.5000000000009</v>
      </c>
    </row>
    <row r="165" spans="1:9" x14ac:dyDescent="0.3">
      <c r="A165" s="2">
        <v>45630</v>
      </c>
      <c r="B165" t="s">
        <v>171</v>
      </c>
      <c r="C165" t="s">
        <v>507</v>
      </c>
      <c r="D165" t="s">
        <v>511</v>
      </c>
      <c r="E165">
        <v>5</v>
      </c>
      <c r="F165">
        <v>581.13</v>
      </c>
      <c r="G165">
        <v>457.91</v>
      </c>
      <c r="H165">
        <v>2905.65</v>
      </c>
      <c r="I165">
        <f t="shared" si="2"/>
        <v>616.09999999999991</v>
      </c>
    </row>
    <row r="166" spans="1:9" x14ac:dyDescent="0.3">
      <c r="A166" s="2">
        <v>45888</v>
      </c>
      <c r="B166" t="s">
        <v>172</v>
      </c>
      <c r="C166" t="s">
        <v>510</v>
      </c>
      <c r="D166" t="s">
        <v>512</v>
      </c>
      <c r="E166">
        <v>20</v>
      </c>
      <c r="F166">
        <v>554.5</v>
      </c>
      <c r="G166">
        <v>450.36</v>
      </c>
      <c r="H166">
        <v>11090</v>
      </c>
      <c r="I166">
        <f t="shared" si="2"/>
        <v>2082.7999999999993</v>
      </c>
    </row>
    <row r="167" spans="1:9" x14ac:dyDescent="0.3">
      <c r="A167" s="2">
        <v>45777</v>
      </c>
      <c r="B167" t="s">
        <v>173</v>
      </c>
      <c r="C167" t="s">
        <v>510</v>
      </c>
      <c r="D167" t="s">
        <v>514</v>
      </c>
      <c r="E167">
        <v>11</v>
      </c>
      <c r="F167">
        <v>616.54999999999995</v>
      </c>
      <c r="G167">
        <v>472.61</v>
      </c>
      <c r="H167">
        <v>6782.05</v>
      </c>
      <c r="I167">
        <f t="shared" si="2"/>
        <v>1583.3400000000001</v>
      </c>
    </row>
    <row r="168" spans="1:9" x14ac:dyDescent="0.3">
      <c r="A168" s="2">
        <v>45588</v>
      </c>
      <c r="B168" t="s">
        <v>174</v>
      </c>
      <c r="C168" t="s">
        <v>507</v>
      </c>
      <c r="D168" t="s">
        <v>516</v>
      </c>
      <c r="E168">
        <v>6</v>
      </c>
      <c r="F168">
        <v>1925.63</v>
      </c>
      <c r="G168">
        <v>1637.56</v>
      </c>
      <c r="H168">
        <v>11553.78</v>
      </c>
      <c r="I168">
        <f t="shared" si="2"/>
        <v>1728.42</v>
      </c>
    </row>
    <row r="169" spans="1:9" x14ac:dyDescent="0.3">
      <c r="A169" s="2">
        <v>45686</v>
      </c>
      <c r="B169" t="s">
        <v>175</v>
      </c>
      <c r="C169" t="s">
        <v>509</v>
      </c>
      <c r="D169" t="s">
        <v>516</v>
      </c>
      <c r="E169">
        <v>15</v>
      </c>
      <c r="F169">
        <v>603.77</v>
      </c>
      <c r="G169">
        <v>434.1</v>
      </c>
      <c r="H169">
        <v>9056.5499999999993</v>
      </c>
      <c r="I169">
        <f t="shared" si="2"/>
        <v>2545.0499999999993</v>
      </c>
    </row>
    <row r="170" spans="1:9" x14ac:dyDescent="0.3">
      <c r="A170" s="2">
        <v>45920</v>
      </c>
      <c r="B170" t="s">
        <v>176</v>
      </c>
      <c r="C170" t="s">
        <v>507</v>
      </c>
      <c r="D170" t="s">
        <v>515</v>
      </c>
      <c r="E170">
        <v>15</v>
      </c>
      <c r="F170">
        <v>685.3</v>
      </c>
      <c r="G170">
        <v>609.46</v>
      </c>
      <c r="H170">
        <v>10279.5</v>
      </c>
      <c r="I170">
        <f t="shared" si="2"/>
        <v>1137.5999999999985</v>
      </c>
    </row>
    <row r="171" spans="1:9" x14ac:dyDescent="0.3">
      <c r="A171" s="2">
        <v>45628</v>
      </c>
      <c r="B171" t="s">
        <v>177</v>
      </c>
      <c r="C171" t="s">
        <v>507</v>
      </c>
      <c r="D171" t="s">
        <v>511</v>
      </c>
      <c r="E171">
        <v>13</v>
      </c>
      <c r="F171">
        <v>1657.93</v>
      </c>
      <c r="G171">
        <v>1103.33</v>
      </c>
      <c r="H171">
        <v>21553.09</v>
      </c>
      <c r="I171">
        <f t="shared" si="2"/>
        <v>7209.8000000000011</v>
      </c>
    </row>
    <row r="172" spans="1:9" x14ac:dyDescent="0.3">
      <c r="A172" s="2">
        <v>45620</v>
      </c>
      <c r="B172" t="s">
        <v>178</v>
      </c>
      <c r="C172" t="s">
        <v>510</v>
      </c>
      <c r="D172" t="s">
        <v>512</v>
      </c>
      <c r="E172">
        <v>4</v>
      </c>
      <c r="F172">
        <v>443.48</v>
      </c>
      <c r="G172">
        <v>378.03</v>
      </c>
      <c r="H172">
        <v>1773.92</v>
      </c>
      <c r="I172">
        <f t="shared" si="2"/>
        <v>261.80000000000018</v>
      </c>
    </row>
    <row r="173" spans="1:9" x14ac:dyDescent="0.3">
      <c r="A173" s="2">
        <v>45860</v>
      </c>
      <c r="B173" t="s">
        <v>179</v>
      </c>
      <c r="C173" t="s">
        <v>510</v>
      </c>
      <c r="D173" t="s">
        <v>511</v>
      </c>
      <c r="E173">
        <v>5</v>
      </c>
      <c r="F173">
        <v>683.77</v>
      </c>
      <c r="G173">
        <v>527.67999999999995</v>
      </c>
      <c r="H173">
        <v>3418.85</v>
      </c>
      <c r="I173">
        <f t="shared" si="2"/>
        <v>780.45000000000027</v>
      </c>
    </row>
    <row r="174" spans="1:9" x14ac:dyDescent="0.3">
      <c r="A174" s="2">
        <v>45655</v>
      </c>
      <c r="B174" t="s">
        <v>180</v>
      </c>
      <c r="C174" t="s">
        <v>509</v>
      </c>
      <c r="D174" t="s">
        <v>515</v>
      </c>
      <c r="E174">
        <v>6</v>
      </c>
      <c r="F174">
        <v>103.64</v>
      </c>
      <c r="G174">
        <v>66.040000000000006</v>
      </c>
      <c r="H174">
        <v>621.84</v>
      </c>
      <c r="I174">
        <f t="shared" si="2"/>
        <v>225.60000000000002</v>
      </c>
    </row>
    <row r="175" spans="1:9" x14ac:dyDescent="0.3">
      <c r="A175" s="2">
        <v>45878</v>
      </c>
      <c r="B175" t="s">
        <v>181</v>
      </c>
      <c r="C175" t="s">
        <v>510</v>
      </c>
      <c r="D175" t="s">
        <v>515</v>
      </c>
      <c r="E175">
        <v>18</v>
      </c>
      <c r="F175">
        <v>1762.71</v>
      </c>
      <c r="G175">
        <v>1287.97</v>
      </c>
      <c r="H175">
        <v>31728.78</v>
      </c>
      <c r="I175">
        <f t="shared" si="2"/>
        <v>8545.32</v>
      </c>
    </row>
    <row r="176" spans="1:9" x14ac:dyDescent="0.3">
      <c r="A176" s="2">
        <v>45624</v>
      </c>
      <c r="B176" t="s">
        <v>182</v>
      </c>
      <c r="C176" t="s">
        <v>509</v>
      </c>
      <c r="D176" t="s">
        <v>513</v>
      </c>
      <c r="E176">
        <v>5</v>
      </c>
      <c r="F176">
        <v>71.81</v>
      </c>
      <c r="G176">
        <v>57.06</v>
      </c>
      <c r="H176">
        <v>359.05</v>
      </c>
      <c r="I176">
        <f t="shared" si="2"/>
        <v>73.75</v>
      </c>
    </row>
    <row r="177" spans="1:9" x14ac:dyDescent="0.3">
      <c r="A177" s="2">
        <v>45638</v>
      </c>
      <c r="B177" t="s">
        <v>183</v>
      </c>
      <c r="C177" t="s">
        <v>510</v>
      </c>
      <c r="D177" t="s">
        <v>511</v>
      </c>
      <c r="E177">
        <v>4</v>
      </c>
      <c r="F177">
        <v>159.24</v>
      </c>
      <c r="G177">
        <v>104.41</v>
      </c>
      <c r="H177">
        <v>636.96</v>
      </c>
      <c r="I177">
        <f t="shared" si="2"/>
        <v>219.32000000000005</v>
      </c>
    </row>
    <row r="178" spans="1:9" x14ac:dyDescent="0.3">
      <c r="A178" s="2">
        <v>45768</v>
      </c>
      <c r="B178" t="s">
        <v>184</v>
      </c>
      <c r="C178" t="s">
        <v>510</v>
      </c>
      <c r="D178" t="s">
        <v>514</v>
      </c>
      <c r="E178">
        <v>3</v>
      </c>
      <c r="F178">
        <v>961.21</v>
      </c>
      <c r="G178">
        <v>786.43</v>
      </c>
      <c r="H178">
        <v>2883.63</v>
      </c>
      <c r="I178">
        <f t="shared" si="2"/>
        <v>524.34000000000015</v>
      </c>
    </row>
    <row r="179" spans="1:9" x14ac:dyDescent="0.3">
      <c r="A179" s="2">
        <v>45718</v>
      </c>
      <c r="B179" t="s">
        <v>185</v>
      </c>
      <c r="C179" t="s">
        <v>508</v>
      </c>
      <c r="D179" t="s">
        <v>516</v>
      </c>
      <c r="E179">
        <v>2</v>
      </c>
      <c r="F179">
        <v>1927.51</v>
      </c>
      <c r="G179">
        <v>1472.99</v>
      </c>
      <c r="H179">
        <v>3855.02</v>
      </c>
      <c r="I179">
        <f t="shared" si="2"/>
        <v>909.04</v>
      </c>
    </row>
    <row r="180" spans="1:9" x14ac:dyDescent="0.3">
      <c r="A180" s="2">
        <v>45819</v>
      </c>
      <c r="B180" t="s">
        <v>186</v>
      </c>
      <c r="C180" t="s">
        <v>508</v>
      </c>
      <c r="D180" t="s">
        <v>511</v>
      </c>
      <c r="E180">
        <v>2</v>
      </c>
      <c r="F180">
        <v>1918.43</v>
      </c>
      <c r="G180">
        <v>1270.6600000000001</v>
      </c>
      <c r="H180">
        <v>3836.86</v>
      </c>
      <c r="I180">
        <f t="shared" si="2"/>
        <v>1295.54</v>
      </c>
    </row>
    <row r="181" spans="1:9" x14ac:dyDescent="0.3">
      <c r="A181" s="2">
        <v>45600</v>
      </c>
      <c r="B181" t="s">
        <v>187</v>
      </c>
      <c r="C181" t="s">
        <v>507</v>
      </c>
      <c r="D181" t="s">
        <v>512</v>
      </c>
      <c r="E181">
        <v>6</v>
      </c>
      <c r="F181">
        <v>1042.3699999999999</v>
      </c>
      <c r="G181">
        <v>828.2</v>
      </c>
      <c r="H181">
        <v>6254.22</v>
      </c>
      <c r="I181">
        <f t="shared" si="2"/>
        <v>1285.0199999999995</v>
      </c>
    </row>
    <row r="182" spans="1:9" x14ac:dyDescent="0.3">
      <c r="A182" s="2">
        <v>45556</v>
      </c>
      <c r="B182" t="s">
        <v>188</v>
      </c>
      <c r="C182" t="s">
        <v>507</v>
      </c>
      <c r="D182" t="s">
        <v>516</v>
      </c>
      <c r="E182">
        <v>6</v>
      </c>
      <c r="F182">
        <v>398.38</v>
      </c>
      <c r="G182">
        <v>356.78</v>
      </c>
      <c r="H182">
        <v>2390.2800000000002</v>
      </c>
      <c r="I182">
        <f t="shared" si="2"/>
        <v>249.60000000000036</v>
      </c>
    </row>
    <row r="183" spans="1:9" x14ac:dyDescent="0.3">
      <c r="A183" s="2">
        <v>45834</v>
      </c>
      <c r="B183" t="s">
        <v>189</v>
      </c>
      <c r="C183" t="s">
        <v>510</v>
      </c>
      <c r="D183" t="s">
        <v>513</v>
      </c>
      <c r="E183">
        <v>13</v>
      </c>
      <c r="F183">
        <v>128.01</v>
      </c>
      <c r="G183">
        <v>81.91</v>
      </c>
      <c r="H183">
        <v>1664.13</v>
      </c>
      <c r="I183">
        <f t="shared" si="2"/>
        <v>599.30000000000018</v>
      </c>
    </row>
    <row r="184" spans="1:9" x14ac:dyDescent="0.3">
      <c r="A184" s="2">
        <v>45745</v>
      </c>
      <c r="B184" t="s">
        <v>190</v>
      </c>
      <c r="C184" t="s">
        <v>510</v>
      </c>
      <c r="D184" t="s">
        <v>513</v>
      </c>
      <c r="E184">
        <v>2</v>
      </c>
      <c r="F184">
        <v>842.51</v>
      </c>
      <c r="G184">
        <v>562.63</v>
      </c>
      <c r="H184">
        <v>1685.02</v>
      </c>
      <c r="I184">
        <f t="shared" si="2"/>
        <v>559.76</v>
      </c>
    </row>
    <row r="185" spans="1:9" x14ac:dyDescent="0.3">
      <c r="A185" s="2">
        <v>45741</v>
      </c>
      <c r="B185" t="s">
        <v>191</v>
      </c>
      <c r="C185" t="s">
        <v>507</v>
      </c>
      <c r="D185" t="s">
        <v>513</v>
      </c>
      <c r="E185">
        <v>1</v>
      </c>
      <c r="F185">
        <v>478.82</v>
      </c>
      <c r="G185">
        <v>354.87</v>
      </c>
      <c r="H185">
        <v>478.82</v>
      </c>
      <c r="I185">
        <f t="shared" si="2"/>
        <v>123.94999999999999</v>
      </c>
    </row>
    <row r="186" spans="1:9" x14ac:dyDescent="0.3">
      <c r="A186" s="2">
        <v>45844</v>
      </c>
      <c r="B186" t="s">
        <v>192</v>
      </c>
      <c r="C186" t="s">
        <v>508</v>
      </c>
      <c r="D186" t="s">
        <v>515</v>
      </c>
      <c r="E186">
        <v>2</v>
      </c>
      <c r="F186">
        <v>844.45</v>
      </c>
      <c r="G186">
        <v>644.94000000000005</v>
      </c>
      <c r="H186">
        <v>1688.9</v>
      </c>
      <c r="I186">
        <f t="shared" si="2"/>
        <v>399.02</v>
      </c>
    </row>
    <row r="187" spans="1:9" x14ac:dyDescent="0.3">
      <c r="A187" s="2">
        <v>45613</v>
      </c>
      <c r="B187" t="s">
        <v>193</v>
      </c>
      <c r="C187" t="s">
        <v>508</v>
      </c>
      <c r="D187" t="s">
        <v>512</v>
      </c>
      <c r="E187">
        <v>11</v>
      </c>
      <c r="F187">
        <v>1920.35</v>
      </c>
      <c r="G187">
        <v>1295.23</v>
      </c>
      <c r="H187">
        <v>21123.85</v>
      </c>
      <c r="I187">
        <f t="shared" si="2"/>
        <v>6876.3199999999979</v>
      </c>
    </row>
    <row r="188" spans="1:9" x14ac:dyDescent="0.3">
      <c r="A188" s="2">
        <v>45649</v>
      </c>
      <c r="B188" t="s">
        <v>194</v>
      </c>
      <c r="C188" t="s">
        <v>508</v>
      </c>
      <c r="D188" t="s">
        <v>512</v>
      </c>
      <c r="E188">
        <v>14</v>
      </c>
      <c r="F188">
        <v>1834.01</v>
      </c>
      <c r="G188">
        <v>1488.87</v>
      </c>
      <c r="H188">
        <v>25676.14</v>
      </c>
      <c r="I188">
        <f t="shared" si="2"/>
        <v>4831.9599999999991</v>
      </c>
    </row>
    <row r="189" spans="1:9" x14ac:dyDescent="0.3">
      <c r="A189" s="2">
        <v>45611</v>
      </c>
      <c r="B189" t="s">
        <v>195</v>
      </c>
      <c r="C189" t="s">
        <v>507</v>
      </c>
      <c r="D189" t="s">
        <v>511</v>
      </c>
      <c r="E189">
        <v>2</v>
      </c>
      <c r="F189">
        <v>1222.1600000000001</v>
      </c>
      <c r="G189">
        <v>1050.92</v>
      </c>
      <c r="H189">
        <v>2444.3200000000002</v>
      </c>
      <c r="I189">
        <f t="shared" si="2"/>
        <v>342.48</v>
      </c>
    </row>
    <row r="190" spans="1:9" x14ac:dyDescent="0.3">
      <c r="A190" s="2">
        <v>45615</v>
      </c>
      <c r="B190" t="s">
        <v>196</v>
      </c>
      <c r="C190" t="s">
        <v>510</v>
      </c>
      <c r="D190" t="s">
        <v>515</v>
      </c>
      <c r="E190">
        <v>6</v>
      </c>
      <c r="F190">
        <v>1611.68</v>
      </c>
      <c r="G190">
        <v>967.3</v>
      </c>
      <c r="H190">
        <v>9670.08</v>
      </c>
      <c r="I190">
        <f t="shared" si="2"/>
        <v>3866.2800000000007</v>
      </c>
    </row>
    <row r="191" spans="1:9" x14ac:dyDescent="0.3">
      <c r="A191" s="2">
        <v>45843</v>
      </c>
      <c r="B191" t="s">
        <v>197</v>
      </c>
      <c r="C191" t="s">
        <v>508</v>
      </c>
      <c r="D191" t="s">
        <v>516</v>
      </c>
      <c r="E191">
        <v>10</v>
      </c>
      <c r="F191">
        <v>903.38</v>
      </c>
      <c r="G191">
        <v>569.47</v>
      </c>
      <c r="H191">
        <v>9033.7999999999993</v>
      </c>
      <c r="I191">
        <f t="shared" si="2"/>
        <v>3339.0999999999985</v>
      </c>
    </row>
    <row r="192" spans="1:9" x14ac:dyDescent="0.3">
      <c r="A192" s="2">
        <v>45718</v>
      </c>
      <c r="B192" t="s">
        <v>198</v>
      </c>
      <c r="C192" t="s">
        <v>510</v>
      </c>
      <c r="D192" t="s">
        <v>514</v>
      </c>
      <c r="E192">
        <v>9</v>
      </c>
      <c r="F192">
        <v>1993.79</v>
      </c>
      <c r="G192">
        <v>1375.91</v>
      </c>
      <c r="H192">
        <v>17944.11</v>
      </c>
      <c r="I192">
        <f t="shared" si="2"/>
        <v>5560.92</v>
      </c>
    </row>
    <row r="193" spans="1:9" x14ac:dyDescent="0.3">
      <c r="A193" s="2">
        <v>45594</v>
      </c>
      <c r="B193" t="s">
        <v>199</v>
      </c>
      <c r="C193" t="s">
        <v>509</v>
      </c>
      <c r="D193" t="s">
        <v>511</v>
      </c>
      <c r="E193">
        <v>20</v>
      </c>
      <c r="F193">
        <v>1192.79</v>
      </c>
      <c r="G193">
        <v>836.07</v>
      </c>
      <c r="H193">
        <v>23855.8</v>
      </c>
      <c r="I193">
        <f t="shared" si="2"/>
        <v>7134.3999999999978</v>
      </c>
    </row>
    <row r="194" spans="1:9" x14ac:dyDescent="0.3">
      <c r="A194" s="2">
        <v>45888</v>
      </c>
      <c r="B194" t="s">
        <v>200</v>
      </c>
      <c r="C194" t="s">
        <v>508</v>
      </c>
      <c r="D194" t="s">
        <v>514</v>
      </c>
      <c r="E194">
        <v>11</v>
      </c>
      <c r="F194">
        <v>349.43</v>
      </c>
      <c r="G194">
        <v>286.81</v>
      </c>
      <c r="H194">
        <v>3843.73</v>
      </c>
      <c r="I194">
        <f t="shared" si="2"/>
        <v>688.82000000000016</v>
      </c>
    </row>
    <row r="195" spans="1:9" x14ac:dyDescent="0.3">
      <c r="A195" s="2">
        <v>45759</v>
      </c>
      <c r="B195" t="s">
        <v>201</v>
      </c>
      <c r="C195" t="s">
        <v>508</v>
      </c>
      <c r="D195" t="s">
        <v>514</v>
      </c>
      <c r="E195">
        <v>18</v>
      </c>
      <c r="F195">
        <v>1710.95</v>
      </c>
      <c r="G195">
        <v>1536.97</v>
      </c>
      <c r="H195">
        <v>30797.1</v>
      </c>
      <c r="I195">
        <f t="shared" ref="I195:I258" si="3">H195-(G195*E195)</f>
        <v>3131.6399999999994</v>
      </c>
    </row>
    <row r="196" spans="1:9" x14ac:dyDescent="0.3">
      <c r="A196" s="2">
        <v>45910</v>
      </c>
      <c r="B196" t="s">
        <v>202</v>
      </c>
      <c r="C196" t="s">
        <v>507</v>
      </c>
      <c r="D196" t="s">
        <v>515</v>
      </c>
      <c r="E196">
        <v>1</v>
      </c>
      <c r="F196">
        <v>1248.25</v>
      </c>
      <c r="G196">
        <v>984.61</v>
      </c>
      <c r="H196">
        <v>1248.25</v>
      </c>
      <c r="I196">
        <f t="shared" si="3"/>
        <v>263.64</v>
      </c>
    </row>
    <row r="197" spans="1:9" x14ac:dyDescent="0.3">
      <c r="A197" s="2">
        <v>45563</v>
      </c>
      <c r="B197" t="s">
        <v>203</v>
      </c>
      <c r="C197" t="s">
        <v>507</v>
      </c>
      <c r="D197" t="s">
        <v>512</v>
      </c>
      <c r="E197">
        <v>6</v>
      </c>
      <c r="F197">
        <v>137.22999999999999</v>
      </c>
      <c r="G197">
        <v>111.44</v>
      </c>
      <c r="H197">
        <v>823.38</v>
      </c>
      <c r="I197">
        <f t="shared" si="3"/>
        <v>154.74</v>
      </c>
    </row>
    <row r="198" spans="1:9" x14ac:dyDescent="0.3">
      <c r="A198" s="2">
        <v>45604</v>
      </c>
      <c r="B198" t="s">
        <v>204</v>
      </c>
      <c r="C198" t="s">
        <v>510</v>
      </c>
      <c r="D198" t="s">
        <v>515</v>
      </c>
      <c r="E198">
        <v>4</v>
      </c>
      <c r="F198">
        <v>1605.62</v>
      </c>
      <c r="G198">
        <v>1336.08</v>
      </c>
      <c r="H198">
        <v>6422.48</v>
      </c>
      <c r="I198">
        <f t="shared" si="3"/>
        <v>1078.1599999999999</v>
      </c>
    </row>
    <row r="199" spans="1:9" x14ac:dyDescent="0.3">
      <c r="A199" s="2">
        <v>45793</v>
      </c>
      <c r="B199" t="s">
        <v>205</v>
      </c>
      <c r="C199" t="s">
        <v>509</v>
      </c>
      <c r="D199" t="s">
        <v>514</v>
      </c>
      <c r="E199">
        <v>16</v>
      </c>
      <c r="F199">
        <v>1856.41</v>
      </c>
      <c r="G199">
        <v>1335.44</v>
      </c>
      <c r="H199">
        <v>29702.560000000001</v>
      </c>
      <c r="I199">
        <f t="shared" si="3"/>
        <v>8335.52</v>
      </c>
    </row>
    <row r="200" spans="1:9" x14ac:dyDescent="0.3">
      <c r="A200" s="2">
        <v>45627</v>
      </c>
      <c r="B200" t="s">
        <v>206</v>
      </c>
      <c r="C200" t="s">
        <v>510</v>
      </c>
      <c r="D200" t="s">
        <v>512</v>
      </c>
      <c r="E200">
        <v>10</v>
      </c>
      <c r="F200">
        <v>1837.13</v>
      </c>
      <c r="G200">
        <v>1592.22</v>
      </c>
      <c r="H200">
        <v>18371.3</v>
      </c>
      <c r="I200">
        <f t="shared" si="3"/>
        <v>2449.0999999999985</v>
      </c>
    </row>
    <row r="201" spans="1:9" x14ac:dyDescent="0.3">
      <c r="A201" s="2">
        <v>45603</v>
      </c>
      <c r="B201" t="s">
        <v>207</v>
      </c>
      <c r="C201" t="s">
        <v>509</v>
      </c>
      <c r="D201" t="s">
        <v>516</v>
      </c>
      <c r="E201">
        <v>20</v>
      </c>
      <c r="F201">
        <v>1750.99</v>
      </c>
      <c r="G201">
        <v>1532.53</v>
      </c>
      <c r="H201">
        <v>35019.800000000003</v>
      </c>
      <c r="I201">
        <f t="shared" si="3"/>
        <v>4369.2000000000044</v>
      </c>
    </row>
    <row r="202" spans="1:9" x14ac:dyDescent="0.3">
      <c r="A202" s="2">
        <v>45799</v>
      </c>
      <c r="B202" t="s">
        <v>208</v>
      </c>
      <c r="C202" t="s">
        <v>508</v>
      </c>
      <c r="D202" t="s">
        <v>511</v>
      </c>
      <c r="E202">
        <v>2</v>
      </c>
      <c r="F202">
        <v>1994.34</v>
      </c>
      <c r="G202">
        <v>1394.76</v>
      </c>
      <c r="H202">
        <v>3988.68</v>
      </c>
      <c r="I202">
        <f t="shared" si="3"/>
        <v>1199.1599999999999</v>
      </c>
    </row>
    <row r="203" spans="1:9" x14ac:dyDescent="0.3">
      <c r="A203" s="2">
        <v>45761</v>
      </c>
      <c r="B203" t="s">
        <v>209</v>
      </c>
      <c r="C203" t="s">
        <v>508</v>
      </c>
      <c r="D203" t="s">
        <v>511</v>
      </c>
      <c r="E203">
        <v>9</v>
      </c>
      <c r="F203">
        <v>1458.53</v>
      </c>
      <c r="G203">
        <v>1203.79</v>
      </c>
      <c r="H203">
        <v>13126.77</v>
      </c>
      <c r="I203">
        <f t="shared" si="3"/>
        <v>2292.66</v>
      </c>
    </row>
    <row r="204" spans="1:9" x14ac:dyDescent="0.3">
      <c r="A204" s="2">
        <v>45660</v>
      </c>
      <c r="B204" t="s">
        <v>210</v>
      </c>
      <c r="C204" t="s">
        <v>507</v>
      </c>
      <c r="D204" t="s">
        <v>516</v>
      </c>
      <c r="E204">
        <v>17</v>
      </c>
      <c r="F204">
        <v>1012</v>
      </c>
      <c r="G204">
        <v>729.48</v>
      </c>
      <c r="H204">
        <v>17204</v>
      </c>
      <c r="I204">
        <f t="shared" si="3"/>
        <v>4802.84</v>
      </c>
    </row>
    <row r="205" spans="1:9" x14ac:dyDescent="0.3">
      <c r="A205" s="2">
        <v>45645</v>
      </c>
      <c r="B205" t="s">
        <v>211</v>
      </c>
      <c r="C205" t="s">
        <v>508</v>
      </c>
      <c r="D205" t="s">
        <v>515</v>
      </c>
      <c r="E205">
        <v>20</v>
      </c>
      <c r="F205">
        <v>337.65</v>
      </c>
      <c r="G205">
        <v>216.16</v>
      </c>
      <c r="H205">
        <v>6753</v>
      </c>
      <c r="I205">
        <f t="shared" si="3"/>
        <v>2429.8000000000002</v>
      </c>
    </row>
    <row r="206" spans="1:9" x14ac:dyDescent="0.3">
      <c r="A206" s="2">
        <v>45892</v>
      </c>
      <c r="B206" t="s">
        <v>212</v>
      </c>
      <c r="C206" t="s">
        <v>509</v>
      </c>
      <c r="D206" t="s">
        <v>514</v>
      </c>
      <c r="E206">
        <v>20</v>
      </c>
      <c r="F206">
        <v>1970.75</v>
      </c>
      <c r="G206">
        <v>1239.83</v>
      </c>
      <c r="H206">
        <v>39415</v>
      </c>
      <c r="I206">
        <f t="shared" si="3"/>
        <v>14618.400000000001</v>
      </c>
    </row>
    <row r="207" spans="1:9" x14ac:dyDescent="0.3">
      <c r="A207" s="2">
        <v>45723</v>
      </c>
      <c r="B207" t="s">
        <v>213</v>
      </c>
      <c r="C207" t="s">
        <v>508</v>
      </c>
      <c r="D207" t="s">
        <v>512</v>
      </c>
      <c r="E207">
        <v>18</v>
      </c>
      <c r="F207">
        <v>687.47</v>
      </c>
      <c r="G207">
        <v>456.47</v>
      </c>
      <c r="H207">
        <v>12374.46</v>
      </c>
      <c r="I207">
        <f t="shared" si="3"/>
        <v>4157.9999999999982</v>
      </c>
    </row>
    <row r="208" spans="1:9" x14ac:dyDescent="0.3">
      <c r="A208" s="2">
        <v>45589</v>
      </c>
      <c r="B208" t="s">
        <v>214</v>
      </c>
      <c r="C208" t="s">
        <v>509</v>
      </c>
      <c r="D208" t="s">
        <v>511</v>
      </c>
      <c r="E208">
        <v>1</v>
      </c>
      <c r="F208">
        <v>1268.23</v>
      </c>
      <c r="G208">
        <v>824.88</v>
      </c>
      <c r="H208">
        <v>1268.23</v>
      </c>
      <c r="I208">
        <f t="shared" si="3"/>
        <v>443.35</v>
      </c>
    </row>
    <row r="209" spans="1:9" x14ac:dyDescent="0.3">
      <c r="A209" s="2">
        <v>45622</v>
      </c>
      <c r="B209" t="s">
        <v>215</v>
      </c>
      <c r="C209" t="s">
        <v>510</v>
      </c>
      <c r="D209" t="s">
        <v>514</v>
      </c>
      <c r="E209">
        <v>1</v>
      </c>
      <c r="F209">
        <v>1462.41</v>
      </c>
      <c r="G209">
        <v>1020.75</v>
      </c>
      <c r="H209">
        <v>1462.41</v>
      </c>
      <c r="I209">
        <f t="shared" si="3"/>
        <v>441.66000000000008</v>
      </c>
    </row>
    <row r="210" spans="1:9" x14ac:dyDescent="0.3">
      <c r="A210" s="2">
        <v>45644</v>
      </c>
      <c r="B210" t="s">
        <v>216</v>
      </c>
      <c r="C210" t="s">
        <v>510</v>
      </c>
      <c r="D210" t="s">
        <v>511</v>
      </c>
      <c r="E210">
        <v>16</v>
      </c>
      <c r="F210">
        <v>384.46</v>
      </c>
      <c r="G210">
        <v>312.79000000000002</v>
      </c>
      <c r="H210">
        <v>6151.36</v>
      </c>
      <c r="I210">
        <f t="shared" si="3"/>
        <v>1146.7199999999993</v>
      </c>
    </row>
    <row r="211" spans="1:9" x14ac:dyDescent="0.3">
      <c r="A211" s="2">
        <v>45630</v>
      </c>
      <c r="B211" t="s">
        <v>217</v>
      </c>
      <c r="C211" t="s">
        <v>509</v>
      </c>
      <c r="D211" t="s">
        <v>515</v>
      </c>
      <c r="E211">
        <v>12</v>
      </c>
      <c r="F211">
        <v>1412.89</v>
      </c>
      <c r="G211">
        <v>919.74</v>
      </c>
      <c r="H211">
        <v>16954.68</v>
      </c>
      <c r="I211">
        <f t="shared" si="3"/>
        <v>5917.7999999999993</v>
      </c>
    </row>
    <row r="212" spans="1:9" x14ac:dyDescent="0.3">
      <c r="A212" s="2">
        <v>45818</v>
      </c>
      <c r="B212" t="s">
        <v>218</v>
      </c>
      <c r="C212" t="s">
        <v>508</v>
      </c>
      <c r="D212" t="s">
        <v>514</v>
      </c>
      <c r="E212">
        <v>14</v>
      </c>
      <c r="F212">
        <v>1116.04</v>
      </c>
      <c r="G212">
        <v>877.04</v>
      </c>
      <c r="H212">
        <v>15624.56</v>
      </c>
      <c r="I212">
        <f t="shared" si="3"/>
        <v>3346</v>
      </c>
    </row>
    <row r="213" spans="1:9" x14ac:dyDescent="0.3">
      <c r="A213" s="2">
        <v>45650</v>
      </c>
      <c r="B213" t="s">
        <v>219</v>
      </c>
      <c r="C213" t="s">
        <v>507</v>
      </c>
      <c r="D213" t="s">
        <v>515</v>
      </c>
      <c r="E213">
        <v>12</v>
      </c>
      <c r="F213">
        <v>1628.96</v>
      </c>
      <c r="G213">
        <v>1175.01</v>
      </c>
      <c r="H213">
        <v>19547.52</v>
      </c>
      <c r="I213">
        <f t="shared" si="3"/>
        <v>5447.4000000000015</v>
      </c>
    </row>
    <row r="214" spans="1:9" x14ac:dyDescent="0.3">
      <c r="A214" s="2">
        <v>45898</v>
      </c>
      <c r="B214" t="s">
        <v>220</v>
      </c>
      <c r="C214" t="s">
        <v>509</v>
      </c>
      <c r="D214" t="s">
        <v>513</v>
      </c>
      <c r="E214">
        <v>5</v>
      </c>
      <c r="F214">
        <v>1163.55</v>
      </c>
      <c r="G214">
        <v>958.5</v>
      </c>
      <c r="H214">
        <v>5817.75</v>
      </c>
      <c r="I214">
        <f t="shared" si="3"/>
        <v>1025.25</v>
      </c>
    </row>
    <row r="215" spans="1:9" x14ac:dyDescent="0.3">
      <c r="A215" s="2">
        <v>45915</v>
      </c>
      <c r="B215" t="s">
        <v>221</v>
      </c>
      <c r="C215" t="s">
        <v>507</v>
      </c>
      <c r="D215" t="s">
        <v>516</v>
      </c>
      <c r="E215">
        <v>5</v>
      </c>
      <c r="F215">
        <v>1269.58</v>
      </c>
      <c r="G215">
        <v>1136.83</v>
      </c>
      <c r="H215">
        <v>6347.9</v>
      </c>
      <c r="I215">
        <f t="shared" si="3"/>
        <v>663.75</v>
      </c>
    </row>
    <row r="216" spans="1:9" x14ac:dyDescent="0.3">
      <c r="A216" s="2">
        <v>45689</v>
      </c>
      <c r="B216" t="s">
        <v>222</v>
      </c>
      <c r="C216" t="s">
        <v>510</v>
      </c>
      <c r="D216" t="s">
        <v>516</v>
      </c>
      <c r="E216">
        <v>18</v>
      </c>
      <c r="F216">
        <v>1145.97</v>
      </c>
      <c r="G216">
        <v>1030.94</v>
      </c>
      <c r="H216">
        <v>20627.46</v>
      </c>
      <c r="I216">
        <f t="shared" si="3"/>
        <v>2070.5399999999972</v>
      </c>
    </row>
    <row r="217" spans="1:9" x14ac:dyDescent="0.3">
      <c r="A217" s="2">
        <v>45906</v>
      </c>
      <c r="B217" t="s">
        <v>223</v>
      </c>
      <c r="C217" t="s">
        <v>509</v>
      </c>
      <c r="D217" t="s">
        <v>515</v>
      </c>
      <c r="E217">
        <v>3</v>
      </c>
      <c r="F217">
        <v>250.1</v>
      </c>
      <c r="G217">
        <v>191.8</v>
      </c>
      <c r="H217">
        <v>750.3</v>
      </c>
      <c r="I217">
        <f t="shared" si="3"/>
        <v>174.89999999999986</v>
      </c>
    </row>
    <row r="218" spans="1:9" x14ac:dyDescent="0.3">
      <c r="A218" s="2">
        <v>45911</v>
      </c>
      <c r="B218" t="s">
        <v>224</v>
      </c>
      <c r="C218" t="s">
        <v>508</v>
      </c>
      <c r="D218" t="s">
        <v>516</v>
      </c>
      <c r="E218">
        <v>19</v>
      </c>
      <c r="F218">
        <v>467.98</v>
      </c>
      <c r="G218">
        <v>418.14</v>
      </c>
      <c r="H218">
        <v>8891.6200000000008</v>
      </c>
      <c r="I218">
        <f t="shared" si="3"/>
        <v>946.96000000000095</v>
      </c>
    </row>
    <row r="219" spans="1:9" x14ac:dyDescent="0.3">
      <c r="A219" s="2">
        <v>45639</v>
      </c>
      <c r="B219" t="s">
        <v>225</v>
      </c>
      <c r="C219" t="s">
        <v>507</v>
      </c>
      <c r="D219" t="s">
        <v>514</v>
      </c>
      <c r="E219">
        <v>5</v>
      </c>
      <c r="F219">
        <v>1822.15</v>
      </c>
      <c r="G219">
        <v>1338.48</v>
      </c>
      <c r="H219">
        <v>9110.75</v>
      </c>
      <c r="I219">
        <f t="shared" si="3"/>
        <v>2418.3500000000004</v>
      </c>
    </row>
    <row r="220" spans="1:9" x14ac:dyDescent="0.3">
      <c r="A220" s="2">
        <v>45641</v>
      </c>
      <c r="B220" t="s">
        <v>226</v>
      </c>
      <c r="C220" t="s">
        <v>510</v>
      </c>
      <c r="D220" t="s">
        <v>515</v>
      </c>
      <c r="E220">
        <v>2</v>
      </c>
      <c r="F220">
        <v>342.78</v>
      </c>
      <c r="G220">
        <v>233.74</v>
      </c>
      <c r="H220">
        <v>685.56</v>
      </c>
      <c r="I220">
        <f t="shared" si="3"/>
        <v>218.07999999999993</v>
      </c>
    </row>
    <row r="221" spans="1:9" x14ac:dyDescent="0.3">
      <c r="A221" s="2">
        <v>45851</v>
      </c>
      <c r="B221" t="s">
        <v>227</v>
      </c>
      <c r="C221" t="s">
        <v>510</v>
      </c>
      <c r="D221" t="s">
        <v>515</v>
      </c>
      <c r="E221">
        <v>18</v>
      </c>
      <c r="F221">
        <v>1022.57</v>
      </c>
      <c r="G221">
        <v>787.68</v>
      </c>
      <c r="H221">
        <v>18406.259999999998</v>
      </c>
      <c r="I221">
        <f t="shared" si="3"/>
        <v>4228.0199999999986</v>
      </c>
    </row>
    <row r="222" spans="1:9" x14ac:dyDescent="0.3">
      <c r="A222" s="2">
        <v>45829</v>
      </c>
      <c r="B222" t="s">
        <v>228</v>
      </c>
      <c r="C222" t="s">
        <v>509</v>
      </c>
      <c r="D222" t="s">
        <v>514</v>
      </c>
      <c r="E222">
        <v>5</v>
      </c>
      <c r="F222">
        <v>236.59</v>
      </c>
      <c r="G222">
        <v>160.93</v>
      </c>
      <c r="H222">
        <v>1182.95</v>
      </c>
      <c r="I222">
        <f t="shared" si="3"/>
        <v>378.29999999999995</v>
      </c>
    </row>
    <row r="223" spans="1:9" x14ac:dyDescent="0.3">
      <c r="A223" s="2">
        <v>45884</v>
      </c>
      <c r="B223" t="s">
        <v>229</v>
      </c>
      <c r="C223" t="s">
        <v>507</v>
      </c>
      <c r="D223" t="s">
        <v>513</v>
      </c>
      <c r="E223">
        <v>13</v>
      </c>
      <c r="F223">
        <v>777.42</v>
      </c>
      <c r="G223">
        <v>592.25</v>
      </c>
      <c r="H223">
        <v>10106.459999999999</v>
      </c>
      <c r="I223">
        <f t="shared" si="3"/>
        <v>2407.2099999999991</v>
      </c>
    </row>
    <row r="224" spans="1:9" x14ac:dyDescent="0.3">
      <c r="A224" s="2">
        <v>45724</v>
      </c>
      <c r="B224" t="s">
        <v>230</v>
      </c>
      <c r="C224" t="s">
        <v>510</v>
      </c>
      <c r="D224" t="s">
        <v>514</v>
      </c>
      <c r="E224">
        <v>11</v>
      </c>
      <c r="F224">
        <v>994.95</v>
      </c>
      <c r="G224">
        <v>788.9</v>
      </c>
      <c r="H224">
        <v>10944.45</v>
      </c>
      <c r="I224">
        <f t="shared" si="3"/>
        <v>2266.5500000000011</v>
      </c>
    </row>
    <row r="225" spans="1:9" x14ac:dyDescent="0.3">
      <c r="A225" s="2">
        <v>45782</v>
      </c>
      <c r="B225" t="s">
        <v>231</v>
      </c>
      <c r="C225" t="s">
        <v>508</v>
      </c>
      <c r="D225" t="s">
        <v>511</v>
      </c>
      <c r="E225">
        <v>11</v>
      </c>
      <c r="F225">
        <v>642.83000000000004</v>
      </c>
      <c r="G225">
        <v>424.37</v>
      </c>
      <c r="H225">
        <v>7071.13</v>
      </c>
      <c r="I225">
        <f t="shared" si="3"/>
        <v>2403.0600000000004</v>
      </c>
    </row>
    <row r="226" spans="1:9" x14ac:dyDescent="0.3">
      <c r="A226" s="2">
        <v>45757</v>
      </c>
      <c r="B226" t="s">
        <v>232</v>
      </c>
      <c r="C226" t="s">
        <v>510</v>
      </c>
      <c r="D226" t="s">
        <v>514</v>
      </c>
      <c r="E226">
        <v>12</v>
      </c>
      <c r="F226">
        <v>545.27</v>
      </c>
      <c r="G226">
        <v>388.76</v>
      </c>
      <c r="H226">
        <v>6543.24</v>
      </c>
      <c r="I226">
        <f t="shared" si="3"/>
        <v>1878.12</v>
      </c>
    </row>
    <row r="227" spans="1:9" x14ac:dyDescent="0.3">
      <c r="A227" s="2">
        <v>45626</v>
      </c>
      <c r="B227" t="s">
        <v>233</v>
      </c>
      <c r="C227" t="s">
        <v>509</v>
      </c>
      <c r="D227" t="s">
        <v>513</v>
      </c>
      <c r="E227">
        <v>11</v>
      </c>
      <c r="F227">
        <v>1301.99</v>
      </c>
      <c r="G227">
        <v>1093.4000000000001</v>
      </c>
      <c r="H227">
        <v>14321.89</v>
      </c>
      <c r="I227">
        <f t="shared" si="3"/>
        <v>2294.489999999998</v>
      </c>
    </row>
    <row r="228" spans="1:9" x14ac:dyDescent="0.3">
      <c r="A228" s="2">
        <v>45800</v>
      </c>
      <c r="B228" t="s">
        <v>234</v>
      </c>
      <c r="C228" t="s">
        <v>508</v>
      </c>
      <c r="D228" t="s">
        <v>513</v>
      </c>
      <c r="E228">
        <v>19</v>
      </c>
      <c r="F228">
        <v>1724.42</v>
      </c>
      <c r="G228">
        <v>1181.8499999999999</v>
      </c>
      <c r="H228">
        <v>32763.98</v>
      </c>
      <c r="I228">
        <f t="shared" si="3"/>
        <v>10308.830000000002</v>
      </c>
    </row>
    <row r="229" spans="1:9" x14ac:dyDescent="0.3">
      <c r="A229" s="2">
        <v>45571</v>
      </c>
      <c r="B229" t="s">
        <v>235</v>
      </c>
      <c r="C229" t="s">
        <v>510</v>
      </c>
      <c r="D229" t="s">
        <v>516</v>
      </c>
      <c r="E229">
        <v>14</v>
      </c>
      <c r="F229">
        <v>82.93</v>
      </c>
      <c r="G229">
        <v>58.1</v>
      </c>
      <c r="H229">
        <v>1161.02</v>
      </c>
      <c r="I229">
        <f t="shared" si="3"/>
        <v>347.62</v>
      </c>
    </row>
    <row r="230" spans="1:9" x14ac:dyDescent="0.3">
      <c r="A230" s="2">
        <v>45596</v>
      </c>
      <c r="B230" t="s">
        <v>236</v>
      </c>
      <c r="C230" t="s">
        <v>507</v>
      </c>
      <c r="D230" t="s">
        <v>513</v>
      </c>
      <c r="E230">
        <v>2</v>
      </c>
      <c r="F230">
        <v>1961.85</v>
      </c>
      <c r="G230">
        <v>1412.58</v>
      </c>
      <c r="H230">
        <v>3923.7</v>
      </c>
      <c r="I230">
        <f t="shared" si="3"/>
        <v>1098.54</v>
      </c>
    </row>
    <row r="231" spans="1:9" x14ac:dyDescent="0.3">
      <c r="A231" s="2">
        <v>45636</v>
      </c>
      <c r="B231" t="s">
        <v>237</v>
      </c>
      <c r="C231" t="s">
        <v>509</v>
      </c>
      <c r="D231" t="s">
        <v>515</v>
      </c>
      <c r="E231">
        <v>11</v>
      </c>
      <c r="F231">
        <v>452.95</v>
      </c>
      <c r="G231">
        <v>336.65</v>
      </c>
      <c r="H231">
        <v>4982.45</v>
      </c>
      <c r="I231">
        <f t="shared" si="3"/>
        <v>1279.3000000000002</v>
      </c>
    </row>
    <row r="232" spans="1:9" x14ac:dyDescent="0.3">
      <c r="A232" s="2">
        <v>45685</v>
      </c>
      <c r="B232" t="s">
        <v>238</v>
      </c>
      <c r="C232" t="s">
        <v>507</v>
      </c>
      <c r="D232" t="s">
        <v>516</v>
      </c>
      <c r="E232">
        <v>14</v>
      </c>
      <c r="F232">
        <v>1582.64</v>
      </c>
      <c r="G232">
        <v>1075.69</v>
      </c>
      <c r="H232">
        <v>22156.959999999999</v>
      </c>
      <c r="I232">
        <f t="shared" si="3"/>
        <v>7097.2999999999993</v>
      </c>
    </row>
    <row r="233" spans="1:9" x14ac:dyDescent="0.3">
      <c r="A233" s="2">
        <v>45675</v>
      </c>
      <c r="B233" t="s">
        <v>239</v>
      </c>
      <c r="C233" t="s">
        <v>510</v>
      </c>
      <c r="D233" t="s">
        <v>516</v>
      </c>
      <c r="E233">
        <v>1</v>
      </c>
      <c r="F233">
        <v>1905.05</v>
      </c>
      <c r="G233">
        <v>1461.87</v>
      </c>
      <c r="H233">
        <v>1905.05</v>
      </c>
      <c r="I233">
        <f t="shared" si="3"/>
        <v>443.18000000000006</v>
      </c>
    </row>
    <row r="234" spans="1:9" x14ac:dyDescent="0.3">
      <c r="A234" s="2">
        <v>45849</v>
      </c>
      <c r="B234" t="s">
        <v>240</v>
      </c>
      <c r="C234" t="s">
        <v>507</v>
      </c>
      <c r="D234" t="s">
        <v>512</v>
      </c>
      <c r="E234">
        <v>4</v>
      </c>
      <c r="F234">
        <v>509.25</v>
      </c>
      <c r="G234">
        <v>416.38</v>
      </c>
      <c r="H234">
        <v>2037</v>
      </c>
      <c r="I234">
        <f t="shared" si="3"/>
        <v>371.48</v>
      </c>
    </row>
    <row r="235" spans="1:9" x14ac:dyDescent="0.3">
      <c r="A235" s="2">
        <v>45833</v>
      </c>
      <c r="B235" t="s">
        <v>241</v>
      </c>
      <c r="C235" t="s">
        <v>507</v>
      </c>
      <c r="D235" t="s">
        <v>516</v>
      </c>
      <c r="E235">
        <v>18</v>
      </c>
      <c r="F235">
        <v>1322.52</v>
      </c>
      <c r="G235">
        <v>825.23</v>
      </c>
      <c r="H235">
        <v>23805.360000000001</v>
      </c>
      <c r="I235">
        <f t="shared" si="3"/>
        <v>8951.2200000000012</v>
      </c>
    </row>
    <row r="236" spans="1:9" x14ac:dyDescent="0.3">
      <c r="A236" s="2">
        <v>45671</v>
      </c>
      <c r="B236" t="s">
        <v>242</v>
      </c>
      <c r="C236" t="s">
        <v>507</v>
      </c>
      <c r="D236" t="s">
        <v>515</v>
      </c>
      <c r="E236">
        <v>7</v>
      </c>
      <c r="F236">
        <v>469.27</v>
      </c>
      <c r="G236">
        <v>360.4</v>
      </c>
      <c r="H236">
        <v>3284.89</v>
      </c>
      <c r="I236">
        <f t="shared" si="3"/>
        <v>762.09000000000015</v>
      </c>
    </row>
    <row r="237" spans="1:9" x14ac:dyDescent="0.3">
      <c r="A237" s="2">
        <v>45921</v>
      </c>
      <c r="B237" t="s">
        <v>243</v>
      </c>
      <c r="C237" t="s">
        <v>507</v>
      </c>
      <c r="D237" t="s">
        <v>515</v>
      </c>
      <c r="E237">
        <v>18</v>
      </c>
      <c r="F237">
        <v>1641.95</v>
      </c>
      <c r="G237">
        <v>1170.3800000000001</v>
      </c>
      <c r="H237">
        <v>29555.1</v>
      </c>
      <c r="I237">
        <f t="shared" si="3"/>
        <v>8488.2599999999948</v>
      </c>
    </row>
    <row r="238" spans="1:9" x14ac:dyDescent="0.3">
      <c r="A238" s="2">
        <v>45601</v>
      </c>
      <c r="B238" t="s">
        <v>244</v>
      </c>
      <c r="C238" t="s">
        <v>507</v>
      </c>
      <c r="D238" t="s">
        <v>511</v>
      </c>
      <c r="E238">
        <v>9</v>
      </c>
      <c r="F238">
        <v>1656.61</v>
      </c>
      <c r="G238">
        <v>1453.66</v>
      </c>
      <c r="H238">
        <v>14909.49</v>
      </c>
      <c r="I238">
        <f t="shared" si="3"/>
        <v>1826.5499999999993</v>
      </c>
    </row>
    <row r="239" spans="1:9" x14ac:dyDescent="0.3">
      <c r="A239" s="2">
        <v>45586</v>
      </c>
      <c r="B239" t="s">
        <v>245</v>
      </c>
      <c r="C239" t="s">
        <v>507</v>
      </c>
      <c r="D239" t="s">
        <v>515</v>
      </c>
      <c r="E239">
        <v>17</v>
      </c>
      <c r="F239">
        <v>1120.1400000000001</v>
      </c>
      <c r="G239">
        <v>973.79</v>
      </c>
      <c r="H239">
        <v>19042.38</v>
      </c>
      <c r="I239">
        <f t="shared" si="3"/>
        <v>2487.9500000000007</v>
      </c>
    </row>
    <row r="240" spans="1:9" x14ac:dyDescent="0.3">
      <c r="A240" s="2">
        <v>45885</v>
      </c>
      <c r="B240" t="s">
        <v>246</v>
      </c>
      <c r="C240" t="s">
        <v>509</v>
      </c>
      <c r="D240" t="s">
        <v>513</v>
      </c>
      <c r="E240">
        <v>10</v>
      </c>
      <c r="F240">
        <v>897.2</v>
      </c>
      <c r="G240">
        <v>695.92</v>
      </c>
      <c r="H240">
        <v>8972</v>
      </c>
      <c r="I240">
        <f t="shared" si="3"/>
        <v>2012.8000000000002</v>
      </c>
    </row>
    <row r="241" spans="1:9" x14ac:dyDescent="0.3">
      <c r="A241" s="2">
        <v>45661</v>
      </c>
      <c r="B241" t="s">
        <v>247</v>
      </c>
      <c r="C241" t="s">
        <v>507</v>
      </c>
      <c r="D241" t="s">
        <v>516</v>
      </c>
      <c r="E241">
        <v>8</v>
      </c>
      <c r="F241">
        <v>631.07000000000005</v>
      </c>
      <c r="G241">
        <v>555.4</v>
      </c>
      <c r="H241">
        <v>5048.5600000000004</v>
      </c>
      <c r="I241">
        <f t="shared" si="3"/>
        <v>605.36000000000058</v>
      </c>
    </row>
    <row r="242" spans="1:9" x14ac:dyDescent="0.3">
      <c r="A242" s="2">
        <v>45778</v>
      </c>
      <c r="B242" t="s">
        <v>248</v>
      </c>
      <c r="C242" t="s">
        <v>510</v>
      </c>
      <c r="D242" t="s">
        <v>513</v>
      </c>
      <c r="E242">
        <v>19</v>
      </c>
      <c r="F242">
        <v>1468.76</v>
      </c>
      <c r="G242">
        <v>1250.72</v>
      </c>
      <c r="H242">
        <v>27906.44</v>
      </c>
      <c r="I242">
        <f t="shared" si="3"/>
        <v>4142.7599999999984</v>
      </c>
    </row>
    <row r="243" spans="1:9" x14ac:dyDescent="0.3">
      <c r="A243" s="2">
        <v>45794</v>
      </c>
      <c r="B243" t="s">
        <v>249</v>
      </c>
      <c r="C243" t="s">
        <v>510</v>
      </c>
      <c r="D243" t="s">
        <v>516</v>
      </c>
      <c r="E243">
        <v>9</v>
      </c>
      <c r="F243">
        <v>557.38</v>
      </c>
      <c r="G243">
        <v>409.86</v>
      </c>
      <c r="H243">
        <v>5016.42</v>
      </c>
      <c r="I243">
        <f t="shared" si="3"/>
        <v>1327.6799999999998</v>
      </c>
    </row>
    <row r="244" spans="1:9" x14ac:dyDescent="0.3">
      <c r="A244" s="2">
        <v>45642</v>
      </c>
      <c r="B244" t="s">
        <v>250</v>
      </c>
      <c r="C244" t="s">
        <v>509</v>
      </c>
      <c r="D244" t="s">
        <v>516</v>
      </c>
      <c r="E244">
        <v>8</v>
      </c>
      <c r="F244">
        <v>183.4</v>
      </c>
      <c r="G244">
        <v>142.21</v>
      </c>
      <c r="H244">
        <v>1467.2</v>
      </c>
      <c r="I244">
        <f t="shared" si="3"/>
        <v>329.52</v>
      </c>
    </row>
    <row r="245" spans="1:9" x14ac:dyDescent="0.3">
      <c r="A245" s="2">
        <v>45761</v>
      </c>
      <c r="B245" t="s">
        <v>251</v>
      </c>
      <c r="C245" t="s">
        <v>508</v>
      </c>
      <c r="D245" t="s">
        <v>513</v>
      </c>
      <c r="E245">
        <v>20</v>
      </c>
      <c r="F245">
        <v>864.88</v>
      </c>
      <c r="G245">
        <v>726.95</v>
      </c>
      <c r="H245">
        <v>17297.599999999999</v>
      </c>
      <c r="I245">
        <f t="shared" si="3"/>
        <v>2758.5999999999985</v>
      </c>
    </row>
    <row r="246" spans="1:9" x14ac:dyDescent="0.3">
      <c r="A246" s="2">
        <v>45720</v>
      </c>
      <c r="B246" t="s">
        <v>252</v>
      </c>
      <c r="C246" t="s">
        <v>508</v>
      </c>
      <c r="D246" t="s">
        <v>516</v>
      </c>
      <c r="E246">
        <v>16</v>
      </c>
      <c r="F246">
        <v>1679.37</v>
      </c>
      <c r="G246">
        <v>1071.54</v>
      </c>
      <c r="H246">
        <v>26869.919999999998</v>
      </c>
      <c r="I246">
        <f t="shared" si="3"/>
        <v>9725.2799999999988</v>
      </c>
    </row>
    <row r="247" spans="1:9" x14ac:dyDescent="0.3">
      <c r="A247" s="2">
        <v>45858</v>
      </c>
      <c r="B247" t="s">
        <v>253</v>
      </c>
      <c r="C247" t="s">
        <v>510</v>
      </c>
      <c r="D247" t="s">
        <v>516</v>
      </c>
      <c r="E247">
        <v>11</v>
      </c>
      <c r="F247">
        <v>1591.11</v>
      </c>
      <c r="G247">
        <v>1158.71</v>
      </c>
      <c r="H247">
        <v>17502.21</v>
      </c>
      <c r="I247">
        <f t="shared" si="3"/>
        <v>4756.3999999999978</v>
      </c>
    </row>
    <row r="248" spans="1:9" x14ac:dyDescent="0.3">
      <c r="A248" s="2">
        <v>45751</v>
      </c>
      <c r="B248" t="s">
        <v>254</v>
      </c>
      <c r="C248" t="s">
        <v>508</v>
      </c>
      <c r="D248" t="s">
        <v>514</v>
      </c>
      <c r="E248">
        <v>11</v>
      </c>
      <c r="F248">
        <v>299.26</v>
      </c>
      <c r="G248">
        <v>222.99</v>
      </c>
      <c r="H248">
        <v>3291.86</v>
      </c>
      <c r="I248">
        <f t="shared" si="3"/>
        <v>838.9699999999998</v>
      </c>
    </row>
    <row r="249" spans="1:9" x14ac:dyDescent="0.3">
      <c r="A249" s="2">
        <v>45813</v>
      </c>
      <c r="B249" t="s">
        <v>255</v>
      </c>
      <c r="C249" t="s">
        <v>508</v>
      </c>
      <c r="D249" t="s">
        <v>516</v>
      </c>
      <c r="E249">
        <v>6</v>
      </c>
      <c r="F249">
        <v>1642.32</v>
      </c>
      <c r="G249">
        <v>1340</v>
      </c>
      <c r="H249">
        <v>9853.92</v>
      </c>
      <c r="I249">
        <f t="shared" si="3"/>
        <v>1813.92</v>
      </c>
    </row>
    <row r="250" spans="1:9" x14ac:dyDescent="0.3">
      <c r="A250" s="2">
        <v>45717</v>
      </c>
      <c r="B250" t="s">
        <v>256</v>
      </c>
      <c r="C250" t="s">
        <v>508</v>
      </c>
      <c r="D250" t="s">
        <v>515</v>
      </c>
      <c r="E250">
        <v>14</v>
      </c>
      <c r="F250">
        <v>780.32</v>
      </c>
      <c r="G250">
        <v>573.14</v>
      </c>
      <c r="H250">
        <v>10924.48</v>
      </c>
      <c r="I250">
        <f t="shared" si="3"/>
        <v>2900.5199999999995</v>
      </c>
    </row>
    <row r="251" spans="1:9" x14ac:dyDescent="0.3">
      <c r="A251" s="2">
        <v>45794</v>
      </c>
      <c r="B251" t="s">
        <v>257</v>
      </c>
      <c r="C251" t="s">
        <v>509</v>
      </c>
      <c r="D251" t="s">
        <v>511</v>
      </c>
      <c r="E251">
        <v>2</v>
      </c>
      <c r="F251">
        <v>1261.29</v>
      </c>
      <c r="G251">
        <v>1099.04</v>
      </c>
      <c r="H251">
        <v>2522.58</v>
      </c>
      <c r="I251">
        <f t="shared" si="3"/>
        <v>324.5</v>
      </c>
    </row>
    <row r="252" spans="1:9" x14ac:dyDescent="0.3">
      <c r="A252" s="2">
        <v>45734</v>
      </c>
      <c r="B252" t="s">
        <v>258</v>
      </c>
      <c r="C252" t="s">
        <v>508</v>
      </c>
      <c r="D252" t="s">
        <v>511</v>
      </c>
      <c r="E252">
        <v>3</v>
      </c>
      <c r="F252">
        <v>1217.8399999999999</v>
      </c>
      <c r="G252">
        <v>994</v>
      </c>
      <c r="H252">
        <v>3653.52</v>
      </c>
      <c r="I252">
        <f t="shared" si="3"/>
        <v>671.52</v>
      </c>
    </row>
    <row r="253" spans="1:9" x14ac:dyDescent="0.3">
      <c r="A253" s="2">
        <v>45623</v>
      </c>
      <c r="B253" t="s">
        <v>259</v>
      </c>
      <c r="C253" t="s">
        <v>508</v>
      </c>
      <c r="D253" t="s">
        <v>515</v>
      </c>
      <c r="E253">
        <v>18</v>
      </c>
      <c r="F253">
        <v>1693.66</v>
      </c>
      <c r="G253">
        <v>1112.79</v>
      </c>
      <c r="H253">
        <v>30485.88</v>
      </c>
      <c r="I253">
        <f t="shared" si="3"/>
        <v>10455.66</v>
      </c>
    </row>
    <row r="254" spans="1:9" x14ac:dyDescent="0.3">
      <c r="A254" s="2">
        <v>45798</v>
      </c>
      <c r="B254" t="s">
        <v>260</v>
      </c>
      <c r="C254" t="s">
        <v>508</v>
      </c>
      <c r="D254" t="s">
        <v>511</v>
      </c>
      <c r="E254">
        <v>9</v>
      </c>
      <c r="F254">
        <v>1278.19</v>
      </c>
      <c r="G254">
        <v>1047.5</v>
      </c>
      <c r="H254">
        <v>11503.71</v>
      </c>
      <c r="I254">
        <f t="shared" si="3"/>
        <v>2076.2099999999991</v>
      </c>
    </row>
    <row r="255" spans="1:9" x14ac:dyDescent="0.3">
      <c r="A255" s="2">
        <v>45849</v>
      </c>
      <c r="B255" t="s">
        <v>261</v>
      </c>
      <c r="C255" t="s">
        <v>510</v>
      </c>
      <c r="D255" t="s">
        <v>515</v>
      </c>
      <c r="E255">
        <v>12</v>
      </c>
      <c r="F255">
        <v>769.98</v>
      </c>
      <c r="G255">
        <v>487.44</v>
      </c>
      <c r="H255">
        <v>9239.76</v>
      </c>
      <c r="I255">
        <f t="shared" si="3"/>
        <v>3390.4800000000005</v>
      </c>
    </row>
    <row r="256" spans="1:9" x14ac:dyDescent="0.3">
      <c r="A256" s="2">
        <v>45765</v>
      </c>
      <c r="B256" t="s">
        <v>262</v>
      </c>
      <c r="C256" t="s">
        <v>507</v>
      </c>
      <c r="D256" t="s">
        <v>511</v>
      </c>
      <c r="E256">
        <v>4</v>
      </c>
      <c r="F256">
        <v>1529.89</v>
      </c>
      <c r="G256">
        <v>1124.3800000000001</v>
      </c>
      <c r="H256">
        <v>6119.56</v>
      </c>
      <c r="I256">
        <f t="shared" si="3"/>
        <v>1622.04</v>
      </c>
    </row>
    <row r="257" spans="1:9" x14ac:dyDescent="0.3">
      <c r="A257" s="2">
        <v>45836</v>
      </c>
      <c r="B257" t="s">
        <v>263</v>
      </c>
      <c r="C257" t="s">
        <v>507</v>
      </c>
      <c r="D257" t="s">
        <v>516</v>
      </c>
      <c r="E257">
        <v>9</v>
      </c>
      <c r="F257">
        <v>630.89</v>
      </c>
      <c r="G257">
        <v>472.38</v>
      </c>
      <c r="H257">
        <v>5678.01</v>
      </c>
      <c r="I257">
        <f t="shared" si="3"/>
        <v>1426.5900000000001</v>
      </c>
    </row>
    <row r="258" spans="1:9" x14ac:dyDescent="0.3">
      <c r="A258" s="2">
        <v>45576</v>
      </c>
      <c r="B258" t="s">
        <v>264</v>
      </c>
      <c r="C258" t="s">
        <v>508</v>
      </c>
      <c r="D258" t="s">
        <v>514</v>
      </c>
      <c r="E258">
        <v>2</v>
      </c>
      <c r="F258">
        <v>449.16</v>
      </c>
      <c r="G258">
        <v>277.92</v>
      </c>
      <c r="H258">
        <v>898.32</v>
      </c>
      <c r="I258">
        <f t="shared" si="3"/>
        <v>342.48</v>
      </c>
    </row>
    <row r="259" spans="1:9" x14ac:dyDescent="0.3">
      <c r="A259" s="2">
        <v>45870</v>
      </c>
      <c r="B259" t="s">
        <v>265</v>
      </c>
      <c r="C259" t="s">
        <v>508</v>
      </c>
      <c r="D259" t="s">
        <v>512</v>
      </c>
      <c r="E259">
        <v>19</v>
      </c>
      <c r="F259">
        <v>1795.37</v>
      </c>
      <c r="G259">
        <v>1162.02</v>
      </c>
      <c r="H259">
        <v>34112.03</v>
      </c>
      <c r="I259">
        <f t="shared" ref="I259:I322" si="4">H259-(G259*E259)</f>
        <v>12033.649999999998</v>
      </c>
    </row>
    <row r="260" spans="1:9" x14ac:dyDescent="0.3">
      <c r="A260" s="2">
        <v>45636</v>
      </c>
      <c r="B260" t="s">
        <v>266</v>
      </c>
      <c r="C260" t="s">
        <v>508</v>
      </c>
      <c r="D260" t="s">
        <v>511</v>
      </c>
      <c r="E260">
        <v>5</v>
      </c>
      <c r="F260">
        <v>1565.87</v>
      </c>
      <c r="G260">
        <v>1032.5999999999999</v>
      </c>
      <c r="H260">
        <v>7829.35</v>
      </c>
      <c r="I260">
        <f t="shared" si="4"/>
        <v>2666.3500000000004</v>
      </c>
    </row>
    <row r="261" spans="1:9" x14ac:dyDescent="0.3">
      <c r="A261" s="2">
        <v>45756</v>
      </c>
      <c r="B261" t="s">
        <v>267</v>
      </c>
      <c r="C261" t="s">
        <v>507</v>
      </c>
      <c r="D261" t="s">
        <v>514</v>
      </c>
      <c r="E261">
        <v>19</v>
      </c>
      <c r="F261">
        <v>254.9</v>
      </c>
      <c r="G261">
        <v>162.41</v>
      </c>
      <c r="H261">
        <v>4843.1000000000004</v>
      </c>
      <c r="I261">
        <f t="shared" si="4"/>
        <v>1757.3100000000004</v>
      </c>
    </row>
    <row r="262" spans="1:9" x14ac:dyDescent="0.3">
      <c r="A262" s="2">
        <v>45596</v>
      </c>
      <c r="B262" t="s">
        <v>268</v>
      </c>
      <c r="C262" t="s">
        <v>509</v>
      </c>
      <c r="D262" t="s">
        <v>513</v>
      </c>
      <c r="E262">
        <v>17</v>
      </c>
      <c r="F262">
        <v>86.42</v>
      </c>
      <c r="G262">
        <v>67.23</v>
      </c>
      <c r="H262">
        <v>1469.14</v>
      </c>
      <c r="I262">
        <f t="shared" si="4"/>
        <v>326.23</v>
      </c>
    </row>
    <row r="263" spans="1:9" x14ac:dyDescent="0.3">
      <c r="A263" s="2">
        <v>45632</v>
      </c>
      <c r="B263" t="s">
        <v>269</v>
      </c>
      <c r="C263" t="s">
        <v>509</v>
      </c>
      <c r="D263" t="s">
        <v>515</v>
      </c>
      <c r="E263">
        <v>11</v>
      </c>
      <c r="F263">
        <v>205.47</v>
      </c>
      <c r="G263">
        <v>156.65</v>
      </c>
      <c r="H263">
        <v>2260.17</v>
      </c>
      <c r="I263">
        <f t="shared" si="4"/>
        <v>537.02</v>
      </c>
    </row>
    <row r="264" spans="1:9" x14ac:dyDescent="0.3">
      <c r="A264" s="2">
        <v>45839</v>
      </c>
      <c r="B264" t="s">
        <v>270</v>
      </c>
      <c r="C264" t="s">
        <v>509</v>
      </c>
      <c r="D264" t="s">
        <v>512</v>
      </c>
      <c r="E264">
        <v>14</v>
      </c>
      <c r="F264">
        <v>952.22</v>
      </c>
      <c r="G264">
        <v>619.21</v>
      </c>
      <c r="H264">
        <v>13331.08</v>
      </c>
      <c r="I264">
        <f t="shared" si="4"/>
        <v>4662.1399999999994</v>
      </c>
    </row>
    <row r="265" spans="1:9" x14ac:dyDescent="0.3">
      <c r="A265" s="2">
        <v>45624</v>
      </c>
      <c r="B265" t="s">
        <v>271</v>
      </c>
      <c r="C265" t="s">
        <v>510</v>
      </c>
      <c r="D265" t="s">
        <v>511</v>
      </c>
      <c r="E265">
        <v>16</v>
      </c>
      <c r="F265">
        <v>1280.1500000000001</v>
      </c>
      <c r="G265">
        <v>914.65</v>
      </c>
      <c r="H265">
        <v>20482.400000000001</v>
      </c>
      <c r="I265">
        <f t="shared" si="4"/>
        <v>5848.0000000000018</v>
      </c>
    </row>
    <row r="266" spans="1:9" x14ac:dyDescent="0.3">
      <c r="A266" s="2">
        <v>45662</v>
      </c>
      <c r="B266" t="s">
        <v>272</v>
      </c>
      <c r="C266" t="s">
        <v>508</v>
      </c>
      <c r="D266" t="s">
        <v>511</v>
      </c>
      <c r="E266">
        <v>5</v>
      </c>
      <c r="F266">
        <v>1506.61</v>
      </c>
      <c r="G266">
        <v>1296.78</v>
      </c>
      <c r="H266">
        <v>7533.05</v>
      </c>
      <c r="I266">
        <f t="shared" si="4"/>
        <v>1049.1500000000005</v>
      </c>
    </row>
    <row r="267" spans="1:9" x14ac:dyDescent="0.3">
      <c r="A267" s="2">
        <v>45805</v>
      </c>
      <c r="B267" t="s">
        <v>273</v>
      </c>
      <c r="C267" t="s">
        <v>510</v>
      </c>
      <c r="D267" t="s">
        <v>516</v>
      </c>
      <c r="E267">
        <v>10</v>
      </c>
      <c r="F267">
        <v>340.89</v>
      </c>
      <c r="G267">
        <v>252.61</v>
      </c>
      <c r="H267">
        <v>3408.9</v>
      </c>
      <c r="I267">
        <f t="shared" si="4"/>
        <v>882.79999999999973</v>
      </c>
    </row>
    <row r="268" spans="1:9" x14ac:dyDescent="0.3">
      <c r="A268" s="2">
        <v>45614</v>
      </c>
      <c r="B268" t="s">
        <v>274</v>
      </c>
      <c r="C268" t="s">
        <v>510</v>
      </c>
      <c r="D268" t="s">
        <v>512</v>
      </c>
      <c r="E268">
        <v>14</v>
      </c>
      <c r="F268">
        <v>972.94</v>
      </c>
      <c r="G268">
        <v>787.78</v>
      </c>
      <c r="H268">
        <v>13621.16</v>
      </c>
      <c r="I268">
        <f t="shared" si="4"/>
        <v>2592.2399999999998</v>
      </c>
    </row>
    <row r="269" spans="1:9" x14ac:dyDescent="0.3">
      <c r="A269" s="2">
        <v>45679</v>
      </c>
      <c r="B269" t="s">
        <v>275</v>
      </c>
      <c r="C269" t="s">
        <v>508</v>
      </c>
      <c r="D269" t="s">
        <v>515</v>
      </c>
      <c r="E269">
        <v>14</v>
      </c>
      <c r="F269">
        <v>1087.96</v>
      </c>
      <c r="G269">
        <v>933.68</v>
      </c>
      <c r="H269">
        <v>15231.44</v>
      </c>
      <c r="I269">
        <f t="shared" si="4"/>
        <v>2159.9200000000019</v>
      </c>
    </row>
    <row r="270" spans="1:9" x14ac:dyDescent="0.3">
      <c r="A270" s="2">
        <v>45637</v>
      </c>
      <c r="B270" t="s">
        <v>276</v>
      </c>
      <c r="C270" t="s">
        <v>510</v>
      </c>
      <c r="D270" t="s">
        <v>515</v>
      </c>
      <c r="E270">
        <v>18</v>
      </c>
      <c r="F270">
        <v>1485.71</v>
      </c>
      <c r="G270">
        <v>1208.6400000000001</v>
      </c>
      <c r="H270">
        <v>26742.78</v>
      </c>
      <c r="I270">
        <f t="shared" si="4"/>
        <v>4987.2599999999984</v>
      </c>
    </row>
    <row r="271" spans="1:9" x14ac:dyDescent="0.3">
      <c r="A271" s="2">
        <v>45868</v>
      </c>
      <c r="B271" t="s">
        <v>277</v>
      </c>
      <c r="C271" t="s">
        <v>507</v>
      </c>
      <c r="D271" t="s">
        <v>513</v>
      </c>
      <c r="E271">
        <v>1</v>
      </c>
      <c r="F271">
        <v>693.68</v>
      </c>
      <c r="G271">
        <v>515.33000000000004</v>
      </c>
      <c r="H271">
        <v>693.68</v>
      </c>
      <c r="I271">
        <f t="shared" si="4"/>
        <v>178.34999999999991</v>
      </c>
    </row>
    <row r="272" spans="1:9" x14ac:dyDescent="0.3">
      <c r="A272" s="2">
        <v>45876</v>
      </c>
      <c r="B272" t="s">
        <v>278</v>
      </c>
      <c r="C272" t="s">
        <v>509</v>
      </c>
      <c r="D272" t="s">
        <v>515</v>
      </c>
      <c r="E272">
        <v>1</v>
      </c>
      <c r="F272">
        <v>83.78</v>
      </c>
      <c r="G272">
        <v>50.46</v>
      </c>
      <c r="H272">
        <v>83.78</v>
      </c>
      <c r="I272">
        <f t="shared" si="4"/>
        <v>33.32</v>
      </c>
    </row>
    <row r="273" spans="1:9" x14ac:dyDescent="0.3">
      <c r="A273" s="2">
        <v>45724</v>
      </c>
      <c r="B273" t="s">
        <v>279</v>
      </c>
      <c r="C273" t="s">
        <v>508</v>
      </c>
      <c r="D273" t="s">
        <v>511</v>
      </c>
      <c r="E273">
        <v>8</v>
      </c>
      <c r="F273">
        <v>1248.57</v>
      </c>
      <c r="G273">
        <v>893.94</v>
      </c>
      <c r="H273">
        <v>9988.56</v>
      </c>
      <c r="I273">
        <f t="shared" si="4"/>
        <v>2837.0399999999991</v>
      </c>
    </row>
    <row r="274" spans="1:9" x14ac:dyDescent="0.3">
      <c r="A274" s="2">
        <v>45742</v>
      </c>
      <c r="B274" t="s">
        <v>280</v>
      </c>
      <c r="C274" t="s">
        <v>509</v>
      </c>
      <c r="D274" t="s">
        <v>516</v>
      </c>
      <c r="E274">
        <v>14</v>
      </c>
      <c r="F274">
        <v>640.23</v>
      </c>
      <c r="G274">
        <v>456.18</v>
      </c>
      <c r="H274">
        <v>8963.2199999999993</v>
      </c>
      <c r="I274">
        <f t="shared" si="4"/>
        <v>2576.6999999999989</v>
      </c>
    </row>
    <row r="275" spans="1:9" x14ac:dyDescent="0.3">
      <c r="A275" s="2">
        <v>45657</v>
      </c>
      <c r="B275" t="s">
        <v>281</v>
      </c>
      <c r="C275" t="s">
        <v>507</v>
      </c>
      <c r="D275" t="s">
        <v>511</v>
      </c>
      <c r="E275">
        <v>5</v>
      </c>
      <c r="F275">
        <v>888.41</v>
      </c>
      <c r="G275">
        <v>706.65</v>
      </c>
      <c r="H275">
        <v>4442.05</v>
      </c>
      <c r="I275">
        <f t="shared" si="4"/>
        <v>908.80000000000018</v>
      </c>
    </row>
    <row r="276" spans="1:9" x14ac:dyDescent="0.3">
      <c r="A276" s="2">
        <v>45641</v>
      </c>
      <c r="B276" t="s">
        <v>282</v>
      </c>
      <c r="C276" t="s">
        <v>508</v>
      </c>
      <c r="D276" t="s">
        <v>515</v>
      </c>
      <c r="E276">
        <v>16</v>
      </c>
      <c r="F276">
        <v>133.15</v>
      </c>
      <c r="G276">
        <v>92.15</v>
      </c>
      <c r="H276">
        <v>2130.4</v>
      </c>
      <c r="I276">
        <f t="shared" si="4"/>
        <v>656</v>
      </c>
    </row>
    <row r="277" spans="1:9" x14ac:dyDescent="0.3">
      <c r="A277" s="2">
        <v>45751</v>
      </c>
      <c r="B277" t="s">
        <v>283</v>
      </c>
      <c r="C277" t="s">
        <v>510</v>
      </c>
      <c r="D277" t="s">
        <v>514</v>
      </c>
      <c r="E277">
        <v>7</v>
      </c>
      <c r="F277">
        <v>167.92</v>
      </c>
      <c r="G277">
        <v>112.89</v>
      </c>
      <c r="H277">
        <v>1175.44</v>
      </c>
      <c r="I277">
        <f t="shared" si="4"/>
        <v>385.21000000000004</v>
      </c>
    </row>
    <row r="278" spans="1:9" x14ac:dyDescent="0.3">
      <c r="A278" s="2">
        <v>45600</v>
      </c>
      <c r="B278" t="s">
        <v>284</v>
      </c>
      <c r="C278" t="s">
        <v>510</v>
      </c>
      <c r="D278" t="s">
        <v>516</v>
      </c>
      <c r="E278">
        <v>11</v>
      </c>
      <c r="F278">
        <v>711.94</v>
      </c>
      <c r="G278">
        <v>479.56</v>
      </c>
      <c r="H278">
        <v>7831.34</v>
      </c>
      <c r="I278">
        <f t="shared" si="4"/>
        <v>2556.1800000000003</v>
      </c>
    </row>
    <row r="279" spans="1:9" x14ac:dyDescent="0.3">
      <c r="A279" s="2">
        <v>45866</v>
      </c>
      <c r="B279" t="s">
        <v>285</v>
      </c>
      <c r="C279" t="s">
        <v>510</v>
      </c>
      <c r="D279" t="s">
        <v>515</v>
      </c>
      <c r="E279">
        <v>15</v>
      </c>
      <c r="F279">
        <v>767.1</v>
      </c>
      <c r="G279">
        <v>534.07000000000005</v>
      </c>
      <c r="H279">
        <v>11506.5</v>
      </c>
      <c r="I279">
        <f t="shared" si="4"/>
        <v>3495.4499999999989</v>
      </c>
    </row>
    <row r="280" spans="1:9" x14ac:dyDescent="0.3">
      <c r="A280" s="2">
        <v>45812</v>
      </c>
      <c r="B280" t="s">
        <v>286</v>
      </c>
      <c r="C280" t="s">
        <v>508</v>
      </c>
      <c r="D280" t="s">
        <v>515</v>
      </c>
      <c r="E280">
        <v>1</v>
      </c>
      <c r="F280">
        <v>360.38</v>
      </c>
      <c r="G280">
        <v>245.9</v>
      </c>
      <c r="H280">
        <v>360.38</v>
      </c>
      <c r="I280">
        <f t="shared" si="4"/>
        <v>114.47999999999999</v>
      </c>
    </row>
    <row r="281" spans="1:9" x14ac:dyDescent="0.3">
      <c r="A281" s="2">
        <v>45659</v>
      </c>
      <c r="B281" t="s">
        <v>287</v>
      </c>
      <c r="C281" t="s">
        <v>508</v>
      </c>
      <c r="D281" t="s">
        <v>516</v>
      </c>
      <c r="E281">
        <v>18</v>
      </c>
      <c r="F281">
        <v>1769.44</v>
      </c>
      <c r="G281">
        <v>1141.83</v>
      </c>
      <c r="H281">
        <v>31849.919999999998</v>
      </c>
      <c r="I281">
        <f t="shared" si="4"/>
        <v>11296.98</v>
      </c>
    </row>
    <row r="282" spans="1:9" x14ac:dyDescent="0.3">
      <c r="A282" s="2">
        <v>45850</v>
      </c>
      <c r="B282" t="s">
        <v>288</v>
      </c>
      <c r="C282" t="s">
        <v>510</v>
      </c>
      <c r="D282" t="s">
        <v>514</v>
      </c>
      <c r="E282">
        <v>12</v>
      </c>
      <c r="F282">
        <v>535.96</v>
      </c>
      <c r="G282">
        <v>441.85</v>
      </c>
      <c r="H282">
        <v>6431.52</v>
      </c>
      <c r="I282">
        <f t="shared" si="4"/>
        <v>1129.3199999999997</v>
      </c>
    </row>
    <row r="283" spans="1:9" x14ac:dyDescent="0.3">
      <c r="A283" s="2">
        <v>45556</v>
      </c>
      <c r="B283" t="s">
        <v>289</v>
      </c>
      <c r="C283" t="s">
        <v>510</v>
      </c>
      <c r="D283" t="s">
        <v>513</v>
      </c>
      <c r="E283">
        <v>12</v>
      </c>
      <c r="F283">
        <v>1804.69</v>
      </c>
      <c r="G283">
        <v>1616.32</v>
      </c>
      <c r="H283">
        <v>21656.28</v>
      </c>
      <c r="I283">
        <f t="shared" si="4"/>
        <v>2260.4399999999987</v>
      </c>
    </row>
    <row r="284" spans="1:9" x14ac:dyDescent="0.3">
      <c r="A284" s="2">
        <v>45625</v>
      </c>
      <c r="B284" t="s">
        <v>290</v>
      </c>
      <c r="C284" t="s">
        <v>509</v>
      </c>
      <c r="D284" t="s">
        <v>512</v>
      </c>
      <c r="E284">
        <v>15</v>
      </c>
      <c r="F284">
        <v>1882.05</v>
      </c>
      <c r="G284">
        <v>1230.22</v>
      </c>
      <c r="H284">
        <v>28230.75</v>
      </c>
      <c r="I284">
        <f t="shared" si="4"/>
        <v>9777.4500000000007</v>
      </c>
    </row>
    <row r="285" spans="1:9" x14ac:dyDescent="0.3">
      <c r="A285" s="2">
        <v>45697</v>
      </c>
      <c r="B285" t="s">
        <v>291</v>
      </c>
      <c r="C285" t="s">
        <v>510</v>
      </c>
      <c r="D285" t="s">
        <v>516</v>
      </c>
      <c r="E285">
        <v>14</v>
      </c>
      <c r="F285">
        <v>1050.3399999999999</v>
      </c>
      <c r="G285">
        <v>713.24</v>
      </c>
      <c r="H285">
        <v>14704.76</v>
      </c>
      <c r="I285">
        <f t="shared" si="4"/>
        <v>4719.3999999999996</v>
      </c>
    </row>
    <row r="286" spans="1:9" x14ac:dyDescent="0.3">
      <c r="A286" s="2">
        <v>45709</v>
      </c>
      <c r="B286" t="s">
        <v>292</v>
      </c>
      <c r="C286" t="s">
        <v>508</v>
      </c>
      <c r="D286" t="s">
        <v>511</v>
      </c>
      <c r="E286">
        <v>18</v>
      </c>
      <c r="F286">
        <v>1622.66</v>
      </c>
      <c r="G286">
        <v>1116.56</v>
      </c>
      <c r="H286">
        <v>29207.88</v>
      </c>
      <c r="I286">
        <f t="shared" si="4"/>
        <v>9109.8000000000029</v>
      </c>
    </row>
    <row r="287" spans="1:9" x14ac:dyDescent="0.3">
      <c r="A287" s="2">
        <v>45619</v>
      </c>
      <c r="B287" t="s">
        <v>293</v>
      </c>
      <c r="C287" t="s">
        <v>510</v>
      </c>
      <c r="D287" t="s">
        <v>512</v>
      </c>
      <c r="E287">
        <v>17</v>
      </c>
      <c r="F287">
        <v>1197.45</v>
      </c>
      <c r="G287">
        <v>889.5</v>
      </c>
      <c r="H287">
        <v>20356.650000000001</v>
      </c>
      <c r="I287">
        <f t="shared" si="4"/>
        <v>5235.1500000000015</v>
      </c>
    </row>
    <row r="288" spans="1:9" x14ac:dyDescent="0.3">
      <c r="A288" s="2">
        <v>45837</v>
      </c>
      <c r="B288" t="s">
        <v>294</v>
      </c>
      <c r="C288" t="s">
        <v>508</v>
      </c>
      <c r="D288" t="s">
        <v>511</v>
      </c>
      <c r="E288">
        <v>3</v>
      </c>
      <c r="F288">
        <v>462.11</v>
      </c>
      <c r="G288">
        <v>411.13</v>
      </c>
      <c r="H288">
        <v>1386.33</v>
      </c>
      <c r="I288">
        <f t="shared" si="4"/>
        <v>152.94000000000005</v>
      </c>
    </row>
    <row r="289" spans="1:9" x14ac:dyDescent="0.3">
      <c r="A289" s="2">
        <v>45901</v>
      </c>
      <c r="B289" t="s">
        <v>295</v>
      </c>
      <c r="C289" t="s">
        <v>507</v>
      </c>
      <c r="D289" t="s">
        <v>516</v>
      </c>
      <c r="E289">
        <v>14</v>
      </c>
      <c r="F289">
        <v>704.21</v>
      </c>
      <c r="G289">
        <v>460.61</v>
      </c>
      <c r="H289">
        <v>9858.94</v>
      </c>
      <c r="I289">
        <f t="shared" si="4"/>
        <v>3410.4000000000005</v>
      </c>
    </row>
    <row r="290" spans="1:9" x14ac:dyDescent="0.3">
      <c r="A290" s="2">
        <v>45761</v>
      </c>
      <c r="B290" t="s">
        <v>296</v>
      </c>
      <c r="C290" t="s">
        <v>509</v>
      </c>
      <c r="D290" t="s">
        <v>512</v>
      </c>
      <c r="E290">
        <v>9</v>
      </c>
      <c r="F290">
        <v>1344.77</v>
      </c>
      <c r="G290">
        <v>963.88</v>
      </c>
      <c r="H290">
        <v>12102.93</v>
      </c>
      <c r="I290">
        <f t="shared" si="4"/>
        <v>3428.01</v>
      </c>
    </row>
    <row r="291" spans="1:9" x14ac:dyDescent="0.3">
      <c r="A291" s="2">
        <v>45838</v>
      </c>
      <c r="B291" t="s">
        <v>297</v>
      </c>
      <c r="C291" t="s">
        <v>510</v>
      </c>
      <c r="D291" t="s">
        <v>512</v>
      </c>
      <c r="E291">
        <v>20</v>
      </c>
      <c r="F291">
        <v>1352.16</v>
      </c>
      <c r="G291">
        <v>1157.3800000000001</v>
      </c>
      <c r="H291">
        <v>27043.200000000001</v>
      </c>
      <c r="I291">
        <f t="shared" si="4"/>
        <v>3895.5999999999985</v>
      </c>
    </row>
    <row r="292" spans="1:9" x14ac:dyDescent="0.3">
      <c r="A292" s="2">
        <v>45867</v>
      </c>
      <c r="B292" t="s">
        <v>298</v>
      </c>
      <c r="C292" t="s">
        <v>509</v>
      </c>
      <c r="D292" t="s">
        <v>514</v>
      </c>
      <c r="E292">
        <v>13</v>
      </c>
      <c r="F292">
        <v>667.27</v>
      </c>
      <c r="G292">
        <v>480.57</v>
      </c>
      <c r="H292">
        <v>8674.51</v>
      </c>
      <c r="I292">
        <f t="shared" si="4"/>
        <v>2427.1000000000004</v>
      </c>
    </row>
    <row r="293" spans="1:9" x14ac:dyDescent="0.3">
      <c r="A293" s="2">
        <v>45573</v>
      </c>
      <c r="B293" t="s">
        <v>299</v>
      </c>
      <c r="C293" t="s">
        <v>509</v>
      </c>
      <c r="D293" t="s">
        <v>514</v>
      </c>
      <c r="E293">
        <v>6</v>
      </c>
      <c r="F293">
        <v>444.15</v>
      </c>
      <c r="G293">
        <v>281.61</v>
      </c>
      <c r="H293">
        <v>2664.9</v>
      </c>
      <c r="I293">
        <f t="shared" si="4"/>
        <v>975.24</v>
      </c>
    </row>
    <row r="294" spans="1:9" x14ac:dyDescent="0.3">
      <c r="A294" s="2">
        <v>45697</v>
      </c>
      <c r="B294" t="s">
        <v>300</v>
      </c>
      <c r="C294" t="s">
        <v>507</v>
      </c>
      <c r="D294" t="s">
        <v>516</v>
      </c>
      <c r="E294">
        <v>6</v>
      </c>
      <c r="F294">
        <v>555.96</v>
      </c>
      <c r="G294">
        <v>493.73</v>
      </c>
      <c r="H294">
        <v>3335.76</v>
      </c>
      <c r="I294">
        <f t="shared" si="4"/>
        <v>373.38000000000011</v>
      </c>
    </row>
    <row r="295" spans="1:9" x14ac:dyDescent="0.3">
      <c r="A295" s="2">
        <v>45620</v>
      </c>
      <c r="B295" t="s">
        <v>301</v>
      </c>
      <c r="C295" t="s">
        <v>508</v>
      </c>
      <c r="D295" t="s">
        <v>513</v>
      </c>
      <c r="E295">
        <v>20</v>
      </c>
      <c r="F295">
        <v>1465.66</v>
      </c>
      <c r="G295">
        <v>956.89</v>
      </c>
      <c r="H295">
        <v>29313.200000000001</v>
      </c>
      <c r="I295">
        <f t="shared" si="4"/>
        <v>10175.400000000001</v>
      </c>
    </row>
    <row r="296" spans="1:9" x14ac:dyDescent="0.3">
      <c r="A296" s="2">
        <v>45638</v>
      </c>
      <c r="B296" t="s">
        <v>302</v>
      </c>
      <c r="C296" t="s">
        <v>508</v>
      </c>
      <c r="D296" t="s">
        <v>514</v>
      </c>
      <c r="E296">
        <v>18</v>
      </c>
      <c r="F296">
        <v>317.45999999999998</v>
      </c>
      <c r="G296">
        <v>199.54</v>
      </c>
      <c r="H296">
        <v>5714.28</v>
      </c>
      <c r="I296">
        <f t="shared" si="4"/>
        <v>2122.56</v>
      </c>
    </row>
    <row r="297" spans="1:9" x14ac:dyDescent="0.3">
      <c r="A297" s="2">
        <v>45887</v>
      </c>
      <c r="B297" t="s">
        <v>303</v>
      </c>
      <c r="C297" t="s">
        <v>507</v>
      </c>
      <c r="D297" t="s">
        <v>514</v>
      </c>
      <c r="E297">
        <v>4</v>
      </c>
      <c r="F297">
        <v>1544.24</v>
      </c>
      <c r="G297">
        <v>1386.5</v>
      </c>
      <c r="H297">
        <v>6176.96</v>
      </c>
      <c r="I297">
        <f t="shared" si="4"/>
        <v>630.96</v>
      </c>
    </row>
    <row r="298" spans="1:9" x14ac:dyDescent="0.3">
      <c r="A298" s="2">
        <v>45610</v>
      </c>
      <c r="B298" t="s">
        <v>304</v>
      </c>
      <c r="C298" t="s">
        <v>510</v>
      </c>
      <c r="D298" t="s">
        <v>513</v>
      </c>
      <c r="E298">
        <v>4</v>
      </c>
      <c r="F298">
        <v>871.02</v>
      </c>
      <c r="G298">
        <v>639.97</v>
      </c>
      <c r="H298">
        <v>3484.08</v>
      </c>
      <c r="I298">
        <f t="shared" si="4"/>
        <v>924.19999999999982</v>
      </c>
    </row>
    <row r="299" spans="1:9" x14ac:dyDescent="0.3">
      <c r="A299" s="2">
        <v>45807</v>
      </c>
      <c r="B299" t="s">
        <v>305</v>
      </c>
      <c r="C299" t="s">
        <v>509</v>
      </c>
      <c r="D299" t="s">
        <v>511</v>
      </c>
      <c r="E299">
        <v>14</v>
      </c>
      <c r="F299">
        <v>1230.8800000000001</v>
      </c>
      <c r="G299">
        <v>741.47</v>
      </c>
      <c r="H299">
        <v>17232.32</v>
      </c>
      <c r="I299">
        <f t="shared" si="4"/>
        <v>6851.74</v>
      </c>
    </row>
    <row r="300" spans="1:9" x14ac:dyDescent="0.3">
      <c r="A300" s="2">
        <v>45843</v>
      </c>
      <c r="B300" t="s">
        <v>306</v>
      </c>
      <c r="C300" t="s">
        <v>510</v>
      </c>
      <c r="D300" t="s">
        <v>514</v>
      </c>
      <c r="E300">
        <v>19</v>
      </c>
      <c r="F300">
        <v>1764.92</v>
      </c>
      <c r="G300">
        <v>1581.43</v>
      </c>
      <c r="H300">
        <v>33533.480000000003</v>
      </c>
      <c r="I300">
        <f t="shared" si="4"/>
        <v>3486.3100000000013</v>
      </c>
    </row>
    <row r="301" spans="1:9" x14ac:dyDescent="0.3">
      <c r="A301" s="2">
        <v>45669</v>
      </c>
      <c r="B301" t="s">
        <v>307</v>
      </c>
      <c r="C301" t="s">
        <v>508</v>
      </c>
      <c r="D301" t="s">
        <v>514</v>
      </c>
      <c r="E301">
        <v>16</v>
      </c>
      <c r="F301">
        <v>1029.68</v>
      </c>
      <c r="G301">
        <v>811.3</v>
      </c>
      <c r="H301">
        <v>16474.88</v>
      </c>
      <c r="I301">
        <f t="shared" si="4"/>
        <v>3494.0800000000017</v>
      </c>
    </row>
    <row r="302" spans="1:9" x14ac:dyDescent="0.3">
      <c r="A302" s="2">
        <v>45919</v>
      </c>
      <c r="B302" t="s">
        <v>308</v>
      </c>
      <c r="C302" t="s">
        <v>508</v>
      </c>
      <c r="D302" t="s">
        <v>514</v>
      </c>
      <c r="E302">
        <v>10</v>
      </c>
      <c r="F302">
        <v>1091.6400000000001</v>
      </c>
      <c r="G302">
        <v>918.94</v>
      </c>
      <c r="H302">
        <v>10916.4</v>
      </c>
      <c r="I302">
        <f t="shared" si="4"/>
        <v>1726.9999999999982</v>
      </c>
    </row>
    <row r="303" spans="1:9" x14ac:dyDescent="0.3">
      <c r="A303" s="2">
        <v>45778</v>
      </c>
      <c r="B303" t="s">
        <v>309</v>
      </c>
      <c r="C303" t="s">
        <v>507</v>
      </c>
      <c r="D303" t="s">
        <v>515</v>
      </c>
      <c r="E303">
        <v>6</v>
      </c>
      <c r="F303">
        <v>449.79</v>
      </c>
      <c r="G303">
        <v>394.96</v>
      </c>
      <c r="H303">
        <v>2698.74</v>
      </c>
      <c r="I303">
        <f t="shared" si="4"/>
        <v>328.98</v>
      </c>
    </row>
    <row r="304" spans="1:9" x14ac:dyDescent="0.3">
      <c r="A304" s="2">
        <v>45916</v>
      </c>
      <c r="B304" t="s">
        <v>310</v>
      </c>
      <c r="C304" t="s">
        <v>509</v>
      </c>
      <c r="D304" t="s">
        <v>514</v>
      </c>
      <c r="E304">
        <v>16</v>
      </c>
      <c r="F304">
        <v>690.09</v>
      </c>
      <c r="G304">
        <v>469.76</v>
      </c>
      <c r="H304">
        <v>11041.44</v>
      </c>
      <c r="I304">
        <f t="shared" si="4"/>
        <v>3525.2800000000007</v>
      </c>
    </row>
    <row r="305" spans="1:9" x14ac:dyDescent="0.3">
      <c r="A305" s="2">
        <v>45733</v>
      </c>
      <c r="B305" t="s">
        <v>311</v>
      </c>
      <c r="C305" t="s">
        <v>509</v>
      </c>
      <c r="D305" t="s">
        <v>513</v>
      </c>
      <c r="E305">
        <v>10</v>
      </c>
      <c r="F305">
        <v>1204.1400000000001</v>
      </c>
      <c r="G305">
        <v>831.78</v>
      </c>
      <c r="H305">
        <v>12041.4</v>
      </c>
      <c r="I305">
        <f t="shared" si="4"/>
        <v>3723.6000000000004</v>
      </c>
    </row>
    <row r="306" spans="1:9" x14ac:dyDescent="0.3">
      <c r="A306" s="2">
        <v>45810</v>
      </c>
      <c r="B306" t="s">
        <v>312</v>
      </c>
      <c r="C306" t="s">
        <v>508</v>
      </c>
      <c r="D306" t="s">
        <v>515</v>
      </c>
      <c r="E306">
        <v>11</v>
      </c>
      <c r="F306">
        <v>1467.63</v>
      </c>
      <c r="G306">
        <v>1050.69</v>
      </c>
      <c r="H306">
        <v>16143.93</v>
      </c>
      <c r="I306">
        <f t="shared" si="4"/>
        <v>4586.34</v>
      </c>
    </row>
    <row r="307" spans="1:9" x14ac:dyDescent="0.3">
      <c r="A307" s="2">
        <v>45712</v>
      </c>
      <c r="B307" t="s">
        <v>313</v>
      </c>
      <c r="C307" t="s">
        <v>508</v>
      </c>
      <c r="D307" t="s">
        <v>512</v>
      </c>
      <c r="E307">
        <v>13</v>
      </c>
      <c r="F307">
        <v>1533.53</v>
      </c>
      <c r="G307">
        <v>1018.22</v>
      </c>
      <c r="H307">
        <v>19935.89</v>
      </c>
      <c r="I307">
        <f t="shared" si="4"/>
        <v>6699.0299999999988</v>
      </c>
    </row>
    <row r="308" spans="1:9" x14ac:dyDescent="0.3">
      <c r="A308" s="2">
        <v>45711</v>
      </c>
      <c r="B308" t="s">
        <v>314</v>
      </c>
      <c r="C308" t="s">
        <v>507</v>
      </c>
      <c r="D308" t="s">
        <v>515</v>
      </c>
      <c r="E308">
        <v>16</v>
      </c>
      <c r="F308">
        <v>1253.6300000000001</v>
      </c>
      <c r="G308">
        <v>1004.41</v>
      </c>
      <c r="H308">
        <v>20058.080000000002</v>
      </c>
      <c r="I308">
        <f t="shared" si="4"/>
        <v>3987.5200000000023</v>
      </c>
    </row>
    <row r="309" spans="1:9" x14ac:dyDescent="0.3">
      <c r="A309" s="2">
        <v>45909</v>
      </c>
      <c r="B309" t="s">
        <v>315</v>
      </c>
      <c r="C309" t="s">
        <v>508</v>
      </c>
      <c r="D309" t="s">
        <v>516</v>
      </c>
      <c r="E309">
        <v>7</v>
      </c>
      <c r="F309">
        <v>409.64</v>
      </c>
      <c r="G309">
        <v>293.74</v>
      </c>
      <c r="H309">
        <v>2867.48</v>
      </c>
      <c r="I309">
        <f t="shared" si="4"/>
        <v>811.29999999999973</v>
      </c>
    </row>
    <row r="310" spans="1:9" x14ac:dyDescent="0.3">
      <c r="A310" s="2">
        <v>45909</v>
      </c>
      <c r="B310" t="s">
        <v>316</v>
      </c>
      <c r="C310" t="s">
        <v>507</v>
      </c>
      <c r="D310" t="s">
        <v>515</v>
      </c>
      <c r="E310">
        <v>6</v>
      </c>
      <c r="F310">
        <v>1766.5</v>
      </c>
      <c r="G310">
        <v>1509.4</v>
      </c>
      <c r="H310">
        <v>10599</v>
      </c>
      <c r="I310">
        <f t="shared" si="4"/>
        <v>1542.5999999999985</v>
      </c>
    </row>
    <row r="311" spans="1:9" x14ac:dyDescent="0.3">
      <c r="A311" s="2">
        <v>45914</v>
      </c>
      <c r="B311" t="s">
        <v>317</v>
      </c>
      <c r="C311" t="s">
        <v>508</v>
      </c>
      <c r="D311" t="s">
        <v>515</v>
      </c>
      <c r="E311">
        <v>11</v>
      </c>
      <c r="F311">
        <v>1479.63</v>
      </c>
      <c r="G311">
        <v>979.2</v>
      </c>
      <c r="H311">
        <v>16275.93</v>
      </c>
      <c r="I311">
        <f t="shared" si="4"/>
        <v>5504.73</v>
      </c>
    </row>
    <row r="312" spans="1:9" x14ac:dyDescent="0.3">
      <c r="A312" s="2">
        <v>45778</v>
      </c>
      <c r="B312" t="s">
        <v>318</v>
      </c>
      <c r="C312" t="s">
        <v>510</v>
      </c>
      <c r="D312" t="s">
        <v>514</v>
      </c>
      <c r="E312">
        <v>3</v>
      </c>
      <c r="F312">
        <v>723.25</v>
      </c>
      <c r="G312">
        <v>599.03</v>
      </c>
      <c r="H312">
        <v>2169.75</v>
      </c>
      <c r="I312">
        <f t="shared" si="4"/>
        <v>372.66000000000008</v>
      </c>
    </row>
    <row r="313" spans="1:9" x14ac:dyDescent="0.3">
      <c r="A313" s="2">
        <v>45602</v>
      </c>
      <c r="B313" t="s">
        <v>319</v>
      </c>
      <c r="C313" t="s">
        <v>510</v>
      </c>
      <c r="D313" t="s">
        <v>511</v>
      </c>
      <c r="E313">
        <v>12</v>
      </c>
      <c r="F313">
        <v>1946.99</v>
      </c>
      <c r="G313">
        <v>1222.99</v>
      </c>
      <c r="H313">
        <v>23363.88</v>
      </c>
      <c r="I313">
        <f t="shared" si="4"/>
        <v>8688</v>
      </c>
    </row>
    <row r="314" spans="1:9" x14ac:dyDescent="0.3">
      <c r="A314" s="2">
        <v>45644</v>
      </c>
      <c r="B314" t="s">
        <v>320</v>
      </c>
      <c r="C314" t="s">
        <v>508</v>
      </c>
      <c r="D314" t="s">
        <v>516</v>
      </c>
      <c r="E314">
        <v>9</v>
      </c>
      <c r="F314">
        <v>136.93</v>
      </c>
      <c r="G314">
        <v>97.62</v>
      </c>
      <c r="H314">
        <v>1232.3699999999999</v>
      </c>
      <c r="I314">
        <f t="shared" si="4"/>
        <v>353.78999999999985</v>
      </c>
    </row>
    <row r="315" spans="1:9" x14ac:dyDescent="0.3">
      <c r="A315" s="2">
        <v>45627</v>
      </c>
      <c r="B315" t="s">
        <v>321</v>
      </c>
      <c r="C315" t="s">
        <v>510</v>
      </c>
      <c r="D315" t="s">
        <v>514</v>
      </c>
      <c r="E315">
        <v>13</v>
      </c>
      <c r="F315">
        <v>457.2</v>
      </c>
      <c r="G315">
        <v>368.84</v>
      </c>
      <c r="H315">
        <v>5943.6</v>
      </c>
      <c r="I315">
        <f t="shared" si="4"/>
        <v>1148.6800000000003</v>
      </c>
    </row>
    <row r="316" spans="1:9" x14ac:dyDescent="0.3">
      <c r="A316" s="2">
        <v>45561</v>
      </c>
      <c r="B316" t="s">
        <v>322</v>
      </c>
      <c r="C316" t="s">
        <v>510</v>
      </c>
      <c r="D316" t="s">
        <v>515</v>
      </c>
      <c r="E316">
        <v>7</v>
      </c>
      <c r="F316">
        <v>1177.3499999999999</v>
      </c>
      <c r="G316">
        <v>1012.88</v>
      </c>
      <c r="H316">
        <v>8241.4500000000007</v>
      </c>
      <c r="I316">
        <f t="shared" si="4"/>
        <v>1151.2900000000009</v>
      </c>
    </row>
    <row r="317" spans="1:9" x14ac:dyDescent="0.3">
      <c r="A317" s="2">
        <v>45614</v>
      </c>
      <c r="B317" t="s">
        <v>323</v>
      </c>
      <c r="C317" t="s">
        <v>508</v>
      </c>
      <c r="D317" t="s">
        <v>511</v>
      </c>
      <c r="E317">
        <v>19</v>
      </c>
      <c r="F317">
        <v>710.91</v>
      </c>
      <c r="G317">
        <v>478.17</v>
      </c>
      <c r="H317">
        <v>13507.29</v>
      </c>
      <c r="I317">
        <f t="shared" si="4"/>
        <v>4422.0600000000013</v>
      </c>
    </row>
    <row r="318" spans="1:9" x14ac:dyDescent="0.3">
      <c r="A318" s="2">
        <v>45570</v>
      </c>
      <c r="B318" t="s">
        <v>324</v>
      </c>
      <c r="C318" t="s">
        <v>507</v>
      </c>
      <c r="D318" t="s">
        <v>515</v>
      </c>
      <c r="E318">
        <v>8</v>
      </c>
      <c r="F318">
        <v>80.13</v>
      </c>
      <c r="G318">
        <v>55.48</v>
      </c>
      <c r="H318">
        <v>641.04</v>
      </c>
      <c r="I318">
        <f t="shared" si="4"/>
        <v>197.2</v>
      </c>
    </row>
    <row r="319" spans="1:9" x14ac:dyDescent="0.3">
      <c r="A319" s="2">
        <v>45771</v>
      </c>
      <c r="B319" t="s">
        <v>325</v>
      </c>
      <c r="C319" t="s">
        <v>510</v>
      </c>
      <c r="D319" t="s">
        <v>513</v>
      </c>
      <c r="E319">
        <v>6</v>
      </c>
      <c r="F319">
        <v>138.46</v>
      </c>
      <c r="G319">
        <v>117.32</v>
      </c>
      <c r="H319">
        <v>830.76</v>
      </c>
      <c r="I319">
        <f t="shared" si="4"/>
        <v>126.84000000000003</v>
      </c>
    </row>
    <row r="320" spans="1:9" x14ac:dyDescent="0.3">
      <c r="A320" s="2">
        <v>45671</v>
      </c>
      <c r="B320" t="s">
        <v>326</v>
      </c>
      <c r="C320" t="s">
        <v>510</v>
      </c>
      <c r="D320" t="s">
        <v>515</v>
      </c>
      <c r="E320">
        <v>17</v>
      </c>
      <c r="F320">
        <v>433.43</v>
      </c>
      <c r="G320">
        <v>286.56</v>
      </c>
      <c r="H320">
        <v>7368.31</v>
      </c>
      <c r="I320">
        <f t="shared" si="4"/>
        <v>2496.79</v>
      </c>
    </row>
    <row r="321" spans="1:9" x14ac:dyDescent="0.3">
      <c r="A321" s="2">
        <v>45608</v>
      </c>
      <c r="B321" t="s">
        <v>327</v>
      </c>
      <c r="C321" t="s">
        <v>509</v>
      </c>
      <c r="D321" t="s">
        <v>514</v>
      </c>
      <c r="E321">
        <v>9</v>
      </c>
      <c r="F321">
        <v>1040.23</v>
      </c>
      <c r="G321">
        <v>835.3</v>
      </c>
      <c r="H321">
        <v>9362.07</v>
      </c>
      <c r="I321">
        <f t="shared" si="4"/>
        <v>1844.37</v>
      </c>
    </row>
    <row r="322" spans="1:9" x14ac:dyDescent="0.3">
      <c r="A322" s="2">
        <v>45856</v>
      </c>
      <c r="B322" t="s">
        <v>328</v>
      </c>
      <c r="C322" t="s">
        <v>507</v>
      </c>
      <c r="D322" t="s">
        <v>511</v>
      </c>
      <c r="E322">
        <v>19</v>
      </c>
      <c r="F322">
        <v>937.51</v>
      </c>
      <c r="G322">
        <v>724.77</v>
      </c>
      <c r="H322">
        <v>17812.689999999999</v>
      </c>
      <c r="I322">
        <f t="shared" si="4"/>
        <v>4042.0599999999995</v>
      </c>
    </row>
    <row r="323" spans="1:9" x14ac:dyDescent="0.3">
      <c r="A323" s="2">
        <v>45575</v>
      </c>
      <c r="B323" t="s">
        <v>329</v>
      </c>
      <c r="C323" t="s">
        <v>509</v>
      </c>
      <c r="D323" t="s">
        <v>512</v>
      </c>
      <c r="E323">
        <v>17</v>
      </c>
      <c r="F323">
        <v>1575.75</v>
      </c>
      <c r="G323">
        <v>1258.27</v>
      </c>
      <c r="H323">
        <v>26787.75</v>
      </c>
      <c r="I323">
        <f t="shared" ref="I323:I386" si="5">H323-(G323*E323)</f>
        <v>5397.16</v>
      </c>
    </row>
    <row r="324" spans="1:9" x14ac:dyDescent="0.3">
      <c r="A324" s="2">
        <v>45825</v>
      </c>
      <c r="B324" t="s">
        <v>330</v>
      </c>
      <c r="C324" t="s">
        <v>507</v>
      </c>
      <c r="D324" t="s">
        <v>515</v>
      </c>
      <c r="E324">
        <v>15</v>
      </c>
      <c r="F324">
        <v>823.31</v>
      </c>
      <c r="G324">
        <v>660.18</v>
      </c>
      <c r="H324">
        <v>12349.65</v>
      </c>
      <c r="I324">
        <f t="shared" si="5"/>
        <v>2446.9500000000007</v>
      </c>
    </row>
    <row r="325" spans="1:9" x14ac:dyDescent="0.3">
      <c r="A325" s="2">
        <v>45655</v>
      </c>
      <c r="B325" t="s">
        <v>331</v>
      </c>
      <c r="C325" t="s">
        <v>507</v>
      </c>
      <c r="D325" t="s">
        <v>513</v>
      </c>
      <c r="E325">
        <v>4</v>
      </c>
      <c r="F325">
        <v>293.49</v>
      </c>
      <c r="G325">
        <v>224.03</v>
      </c>
      <c r="H325">
        <v>1173.96</v>
      </c>
      <c r="I325">
        <f t="shared" si="5"/>
        <v>277.84000000000003</v>
      </c>
    </row>
    <row r="326" spans="1:9" x14ac:dyDescent="0.3">
      <c r="A326" s="2">
        <v>45873</v>
      </c>
      <c r="B326" t="s">
        <v>332</v>
      </c>
      <c r="C326" t="s">
        <v>510</v>
      </c>
      <c r="D326" t="s">
        <v>515</v>
      </c>
      <c r="E326">
        <v>11</v>
      </c>
      <c r="F326">
        <v>1008.93</v>
      </c>
      <c r="G326">
        <v>708.02</v>
      </c>
      <c r="H326">
        <v>11098.23</v>
      </c>
      <c r="I326">
        <f t="shared" si="5"/>
        <v>3310.01</v>
      </c>
    </row>
    <row r="327" spans="1:9" x14ac:dyDescent="0.3">
      <c r="A327" s="2">
        <v>45670</v>
      </c>
      <c r="B327" t="s">
        <v>333</v>
      </c>
      <c r="C327" t="s">
        <v>508</v>
      </c>
      <c r="D327" t="s">
        <v>515</v>
      </c>
      <c r="E327">
        <v>11</v>
      </c>
      <c r="F327">
        <v>1637.72</v>
      </c>
      <c r="G327">
        <v>1435.95</v>
      </c>
      <c r="H327">
        <v>18014.919999999998</v>
      </c>
      <c r="I327">
        <f t="shared" si="5"/>
        <v>2219.4699999999975</v>
      </c>
    </row>
    <row r="328" spans="1:9" x14ac:dyDescent="0.3">
      <c r="A328" s="2">
        <v>45699</v>
      </c>
      <c r="B328" t="s">
        <v>334</v>
      </c>
      <c r="C328" t="s">
        <v>510</v>
      </c>
      <c r="D328" t="s">
        <v>515</v>
      </c>
      <c r="E328">
        <v>15</v>
      </c>
      <c r="F328">
        <v>1785.87</v>
      </c>
      <c r="G328">
        <v>1371.78</v>
      </c>
      <c r="H328">
        <v>26788.05</v>
      </c>
      <c r="I328">
        <f t="shared" si="5"/>
        <v>6211.3499999999985</v>
      </c>
    </row>
    <row r="329" spans="1:9" x14ac:dyDescent="0.3">
      <c r="A329" s="2">
        <v>45736</v>
      </c>
      <c r="B329" t="s">
        <v>335</v>
      </c>
      <c r="C329" t="s">
        <v>509</v>
      </c>
      <c r="D329" t="s">
        <v>513</v>
      </c>
      <c r="E329">
        <v>5</v>
      </c>
      <c r="F329">
        <v>1636.06</v>
      </c>
      <c r="G329">
        <v>1106.3699999999999</v>
      </c>
      <c r="H329">
        <v>8180.3</v>
      </c>
      <c r="I329">
        <f t="shared" si="5"/>
        <v>2648.4500000000007</v>
      </c>
    </row>
    <row r="330" spans="1:9" x14ac:dyDescent="0.3">
      <c r="A330" s="2">
        <v>45670</v>
      </c>
      <c r="B330" t="s">
        <v>336</v>
      </c>
      <c r="C330" t="s">
        <v>507</v>
      </c>
      <c r="D330" t="s">
        <v>515</v>
      </c>
      <c r="E330">
        <v>2</v>
      </c>
      <c r="F330">
        <v>1883.46</v>
      </c>
      <c r="G330">
        <v>1461.27</v>
      </c>
      <c r="H330">
        <v>3766.92</v>
      </c>
      <c r="I330">
        <f t="shared" si="5"/>
        <v>844.38000000000011</v>
      </c>
    </row>
    <row r="331" spans="1:9" x14ac:dyDescent="0.3">
      <c r="A331" s="2">
        <v>45683</v>
      </c>
      <c r="B331" t="s">
        <v>337</v>
      </c>
      <c r="C331" t="s">
        <v>507</v>
      </c>
      <c r="D331" t="s">
        <v>514</v>
      </c>
      <c r="E331">
        <v>17</v>
      </c>
      <c r="F331">
        <v>1030.57</v>
      </c>
      <c r="G331">
        <v>626.4</v>
      </c>
      <c r="H331">
        <v>17519.689999999999</v>
      </c>
      <c r="I331">
        <f t="shared" si="5"/>
        <v>6870.8899999999994</v>
      </c>
    </row>
    <row r="332" spans="1:9" x14ac:dyDescent="0.3">
      <c r="A332" s="2">
        <v>45716</v>
      </c>
      <c r="B332" t="s">
        <v>338</v>
      </c>
      <c r="C332" t="s">
        <v>510</v>
      </c>
      <c r="D332" t="s">
        <v>512</v>
      </c>
      <c r="E332">
        <v>6</v>
      </c>
      <c r="F332">
        <v>954.33</v>
      </c>
      <c r="G332">
        <v>595.33000000000004</v>
      </c>
      <c r="H332">
        <v>5725.98</v>
      </c>
      <c r="I332">
        <f t="shared" si="5"/>
        <v>2153.9999999999991</v>
      </c>
    </row>
    <row r="333" spans="1:9" x14ac:dyDescent="0.3">
      <c r="A333" s="2">
        <v>45631</v>
      </c>
      <c r="B333" t="s">
        <v>339</v>
      </c>
      <c r="C333" t="s">
        <v>509</v>
      </c>
      <c r="D333" t="s">
        <v>512</v>
      </c>
      <c r="E333">
        <v>6</v>
      </c>
      <c r="F333">
        <v>69.75</v>
      </c>
      <c r="G333">
        <v>58.23</v>
      </c>
      <c r="H333">
        <v>418.5</v>
      </c>
      <c r="I333">
        <f t="shared" si="5"/>
        <v>69.12</v>
      </c>
    </row>
    <row r="334" spans="1:9" x14ac:dyDescent="0.3">
      <c r="A334" s="2">
        <v>45706</v>
      </c>
      <c r="B334" t="s">
        <v>340</v>
      </c>
      <c r="C334" t="s">
        <v>507</v>
      </c>
      <c r="D334" t="s">
        <v>514</v>
      </c>
      <c r="E334">
        <v>18</v>
      </c>
      <c r="F334">
        <v>1940.07</v>
      </c>
      <c r="G334">
        <v>1645.69</v>
      </c>
      <c r="H334">
        <v>34921.26</v>
      </c>
      <c r="I334">
        <f t="shared" si="5"/>
        <v>5298.84</v>
      </c>
    </row>
    <row r="335" spans="1:9" x14ac:dyDescent="0.3">
      <c r="A335" s="2">
        <v>45689</v>
      </c>
      <c r="B335" t="s">
        <v>341</v>
      </c>
      <c r="C335" t="s">
        <v>509</v>
      </c>
      <c r="D335" t="s">
        <v>511</v>
      </c>
      <c r="E335">
        <v>17</v>
      </c>
      <c r="F335">
        <v>1988.57</v>
      </c>
      <c r="G335">
        <v>1469.83</v>
      </c>
      <c r="H335">
        <v>33805.69</v>
      </c>
      <c r="I335">
        <f t="shared" si="5"/>
        <v>8818.5800000000017</v>
      </c>
    </row>
    <row r="336" spans="1:9" x14ac:dyDescent="0.3">
      <c r="A336" s="2">
        <v>45754</v>
      </c>
      <c r="B336" t="s">
        <v>342</v>
      </c>
      <c r="C336" t="s">
        <v>509</v>
      </c>
      <c r="D336" t="s">
        <v>514</v>
      </c>
      <c r="E336">
        <v>17</v>
      </c>
      <c r="F336">
        <v>1533.19</v>
      </c>
      <c r="G336">
        <v>964.7</v>
      </c>
      <c r="H336">
        <v>26064.23</v>
      </c>
      <c r="I336">
        <f t="shared" si="5"/>
        <v>9664.3299999999981</v>
      </c>
    </row>
    <row r="337" spans="1:9" x14ac:dyDescent="0.3">
      <c r="A337" s="2">
        <v>45610</v>
      </c>
      <c r="B337" t="s">
        <v>343</v>
      </c>
      <c r="C337" t="s">
        <v>507</v>
      </c>
      <c r="D337" t="s">
        <v>512</v>
      </c>
      <c r="E337">
        <v>15</v>
      </c>
      <c r="F337">
        <v>1133.8499999999999</v>
      </c>
      <c r="G337">
        <v>864.72</v>
      </c>
      <c r="H337">
        <v>17007.75</v>
      </c>
      <c r="I337">
        <f t="shared" si="5"/>
        <v>4036.9499999999989</v>
      </c>
    </row>
    <row r="338" spans="1:9" x14ac:dyDescent="0.3">
      <c r="A338" s="2">
        <v>45630</v>
      </c>
      <c r="B338" t="s">
        <v>344</v>
      </c>
      <c r="C338" t="s">
        <v>507</v>
      </c>
      <c r="D338" t="s">
        <v>512</v>
      </c>
      <c r="E338">
        <v>18</v>
      </c>
      <c r="F338">
        <v>1405.76</v>
      </c>
      <c r="G338">
        <v>1156.21</v>
      </c>
      <c r="H338">
        <v>25303.68</v>
      </c>
      <c r="I338">
        <f t="shared" si="5"/>
        <v>4491.9000000000015</v>
      </c>
    </row>
    <row r="339" spans="1:9" x14ac:dyDescent="0.3">
      <c r="A339" s="2">
        <v>45692</v>
      </c>
      <c r="B339" t="s">
        <v>345</v>
      </c>
      <c r="C339" t="s">
        <v>507</v>
      </c>
      <c r="D339" t="s">
        <v>514</v>
      </c>
      <c r="E339">
        <v>1</v>
      </c>
      <c r="F339">
        <v>129.15</v>
      </c>
      <c r="G339">
        <v>81.260000000000005</v>
      </c>
      <c r="H339">
        <v>129.15</v>
      </c>
      <c r="I339">
        <f t="shared" si="5"/>
        <v>47.89</v>
      </c>
    </row>
    <row r="340" spans="1:9" x14ac:dyDescent="0.3">
      <c r="A340" s="2">
        <v>45767</v>
      </c>
      <c r="B340" t="s">
        <v>346</v>
      </c>
      <c r="C340" t="s">
        <v>510</v>
      </c>
      <c r="D340" t="s">
        <v>516</v>
      </c>
      <c r="E340">
        <v>12</v>
      </c>
      <c r="F340">
        <v>91.53</v>
      </c>
      <c r="G340">
        <v>70.06</v>
      </c>
      <c r="H340">
        <v>1098.3599999999999</v>
      </c>
      <c r="I340">
        <f t="shared" si="5"/>
        <v>257.63999999999987</v>
      </c>
    </row>
    <row r="341" spans="1:9" x14ac:dyDescent="0.3">
      <c r="A341" s="2">
        <v>45867</v>
      </c>
      <c r="B341" t="s">
        <v>347</v>
      </c>
      <c r="C341" t="s">
        <v>507</v>
      </c>
      <c r="D341" t="s">
        <v>513</v>
      </c>
      <c r="E341">
        <v>17</v>
      </c>
      <c r="F341">
        <v>1135.81</v>
      </c>
      <c r="G341">
        <v>967.63</v>
      </c>
      <c r="H341">
        <v>19308.77</v>
      </c>
      <c r="I341">
        <f t="shared" si="5"/>
        <v>2859.0600000000013</v>
      </c>
    </row>
    <row r="342" spans="1:9" x14ac:dyDescent="0.3">
      <c r="A342" s="2">
        <v>45881</v>
      </c>
      <c r="B342" t="s">
        <v>348</v>
      </c>
      <c r="C342" t="s">
        <v>509</v>
      </c>
      <c r="D342" t="s">
        <v>514</v>
      </c>
      <c r="E342">
        <v>1</v>
      </c>
      <c r="F342">
        <v>624.89</v>
      </c>
      <c r="G342">
        <v>536.97</v>
      </c>
      <c r="H342">
        <v>624.89</v>
      </c>
      <c r="I342">
        <f t="shared" si="5"/>
        <v>87.919999999999959</v>
      </c>
    </row>
    <row r="343" spans="1:9" x14ac:dyDescent="0.3">
      <c r="A343" s="2">
        <v>45649</v>
      </c>
      <c r="B343" t="s">
        <v>349</v>
      </c>
      <c r="C343" t="s">
        <v>509</v>
      </c>
      <c r="D343" t="s">
        <v>511</v>
      </c>
      <c r="E343">
        <v>8</v>
      </c>
      <c r="F343">
        <v>1064.3399999999999</v>
      </c>
      <c r="G343">
        <v>714.39</v>
      </c>
      <c r="H343">
        <v>8514.7199999999993</v>
      </c>
      <c r="I343">
        <f t="shared" si="5"/>
        <v>2799.5999999999995</v>
      </c>
    </row>
    <row r="344" spans="1:9" x14ac:dyDescent="0.3">
      <c r="A344" s="2">
        <v>45739</v>
      </c>
      <c r="B344" t="s">
        <v>350</v>
      </c>
      <c r="C344" t="s">
        <v>510</v>
      </c>
      <c r="D344" t="s">
        <v>516</v>
      </c>
      <c r="E344">
        <v>18</v>
      </c>
      <c r="F344">
        <v>606.75</v>
      </c>
      <c r="G344">
        <v>491.25</v>
      </c>
      <c r="H344">
        <v>10921.5</v>
      </c>
      <c r="I344">
        <f t="shared" si="5"/>
        <v>2079</v>
      </c>
    </row>
    <row r="345" spans="1:9" x14ac:dyDescent="0.3">
      <c r="A345" s="2">
        <v>45828</v>
      </c>
      <c r="B345" t="s">
        <v>351</v>
      </c>
      <c r="C345" t="s">
        <v>507</v>
      </c>
      <c r="D345" t="s">
        <v>516</v>
      </c>
      <c r="E345">
        <v>7</v>
      </c>
      <c r="F345">
        <v>1042.05</v>
      </c>
      <c r="G345">
        <v>815.81</v>
      </c>
      <c r="H345">
        <v>7294.35</v>
      </c>
      <c r="I345">
        <f t="shared" si="5"/>
        <v>1583.6800000000003</v>
      </c>
    </row>
    <row r="346" spans="1:9" x14ac:dyDescent="0.3">
      <c r="A346" s="2">
        <v>45885</v>
      </c>
      <c r="B346" t="s">
        <v>352</v>
      </c>
      <c r="C346" t="s">
        <v>507</v>
      </c>
      <c r="D346" t="s">
        <v>512</v>
      </c>
      <c r="E346">
        <v>16</v>
      </c>
      <c r="F346">
        <v>1044.18</v>
      </c>
      <c r="G346">
        <v>778.21</v>
      </c>
      <c r="H346">
        <v>16706.88</v>
      </c>
      <c r="I346">
        <f t="shared" si="5"/>
        <v>4255.5200000000004</v>
      </c>
    </row>
    <row r="347" spans="1:9" x14ac:dyDescent="0.3">
      <c r="A347" s="2">
        <v>45907</v>
      </c>
      <c r="B347" t="s">
        <v>353</v>
      </c>
      <c r="C347" t="s">
        <v>510</v>
      </c>
      <c r="D347" t="s">
        <v>514</v>
      </c>
      <c r="E347">
        <v>18</v>
      </c>
      <c r="F347">
        <v>207</v>
      </c>
      <c r="G347">
        <v>174.2</v>
      </c>
      <c r="H347">
        <v>3726</v>
      </c>
      <c r="I347">
        <f t="shared" si="5"/>
        <v>590.40000000000009</v>
      </c>
    </row>
    <row r="348" spans="1:9" x14ac:dyDescent="0.3">
      <c r="A348" s="2">
        <v>45845</v>
      </c>
      <c r="B348" t="s">
        <v>354</v>
      </c>
      <c r="C348" t="s">
        <v>507</v>
      </c>
      <c r="D348" t="s">
        <v>511</v>
      </c>
      <c r="E348">
        <v>9</v>
      </c>
      <c r="F348">
        <v>957.5</v>
      </c>
      <c r="G348">
        <v>800.6</v>
      </c>
      <c r="H348">
        <v>8617.5</v>
      </c>
      <c r="I348">
        <f t="shared" si="5"/>
        <v>1412.0999999999995</v>
      </c>
    </row>
    <row r="349" spans="1:9" x14ac:dyDescent="0.3">
      <c r="A349" s="2">
        <v>45754</v>
      </c>
      <c r="B349" t="s">
        <v>355</v>
      </c>
      <c r="C349" t="s">
        <v>507</v>
      </c>
      <c r="D349" t="s">
        <v>516</v>
      </c>
      <c r="E349">
        <v>7</v>
      </c>
      <c r="F349">
        <v>1383.61</v>
      </c>
      <c r="G349">
        <v>1089.44</v>
      </c>
      <c r="H349">
        <v>9685.27</v>
      </c>
      <c r="I349">
        <f t="shared" si="5"/>
        <v>2059.1900000000005</v>
      </c>
    </row>
    <row r="350" spans="1:9" x14ac:dyDescent="0.3">
      <c r="A350" s="2">
        <v>45662</v>
      </c>
      <c r="B350" t="s">
        <v>356</v>
      </c>
      <c r="C350" t="s">
        <v>510</v>
      </c>
      <c r="D350" t="s">
        <v>515</v>
      </c>
      <c r="E350">
        <v>2</v>
      </c>
      <c r="F350">
        <v>756.96</v>
      </c>
      <c r="G350">
        <v>609.91</v>
      </c>
      <c r="H350">
        <v>1513.92</v>
      </c>
      <c r="I350">
        <f t="shared" si="5"/>
        <v>294.10000000000014</v>
      </c>
    </row>
    <row r="351" spans="1:9" x14ac:dyDescent="0.3">
      <c r="A351" s="2">
        <v>45769</v>
      </c>
      <c r="B351" t="s">
        <v>357</v>
      </c>
      <c r="C351" t="s">
        <v>508</v>
      </c>
      <c r="D351" t="s">
        <v>516</v>
      </c>
      <c r="E351">
        <v>18</v>
      </c>
      <c r="F351">
        <v>1660.02</v>
      </c>
      <c r="G351">
        <v>1040.3599999999999</v>
      </c>
      <c r="H351">
        <v>29880.36</v>
      </c>
      <c r="I351">
        <f t="shared" si="5"/>
        <v>11153.880000000001</v>
      </c>
    </row>
    <row r="352" spans="1:9" x14ac:dyDescent="0.3">
      <c r="A352" s="2">
        <v>45848</v>
      </c>
      <c r="B352" t="s">
        <v>358</v>
      </c>
      <c r="C352" t="s">
        <v>507</v>
      </c>
      <c r="D352" t="s">
        <v>512</v>
      </c>
      <c r="E352">
        <v>20</v>
      </c>
      <c r="F352">
        <v>353.37</v>
      </c>
      <c r="G352">
        <v>288.83</v>
      </c>
      <c r="H352">
        <v>7067.4</v>
      </c>
      <c r="I352">
        <f t="shared" si="5"/>
        <v>1290.8000000000002</v>
      </c>
    </row>
    <row r="353" spans="1:9" x14ac:dyDescent="0.3">
      <c r="A353" s="2">
        <v>45841</v>
      </c>
      <c r="B353" t="s">
        <v>359</v>
      </c>
      <c r="C353" t="s">
        <v>508</v>
      </c>
      <c r="D353" t="s">
        <v>511</v>
      </c>
      <c r="E353">
        <v>12</v>
      </c>
      <c r="F353">
        <v>1378.99</v>
      </c>
      <c r="G353">
        <v>1178.8800000000001</v>
      </c>
      <c r="H353">
        <v>16547.88</v>
      </c>
      <c r="I353">
        <f t="shared" si="5"/>
        <v>2401.3199999999997</v>
      </c>
    </row>
    <row r="354" spans="1:9" x14ac:dyDescent="0.3">
      <c r="A354" s="2">
        <v>45576</v>
      </c>
      <c r="B354" t="s">
        <v>360</v>
      </c>
      <c r="C354" t="s">
        <v>509</v>
      </c>
      <c r="D354" t="s">
        <v>515</v>
      </c>
      <c r="E354">
        <v>11</v>
      </c>
      <c r="F354">
        <v>1550.47</v>
      </c>
      <c r="G354">
        <v>1282.58</v>
      </c>
      <c r="H354">
        <v>17055.169999999998</v>
      </c>
      <c r="I354">
        <f t="shared" si="5"/>
        <v>2946.7899999999991</v>
      </c>
    </row>
    <row r="355" spans="1:9" x14ac:dyDescent="0.3">
      <c r="A355" s="2">
        <v>45573</v>
      </c>
      <c r="B355" t="s">
        <v>361</v>
      </c>
      <c r="C355" t="s">
        <v>507</v>
      </c>
      <c r="D355" t="s">
        <v>513</v>
      </c>
      <c r="E355">
        <v>8</v>
      </c>
      <c r="F355">
        <v>1678.52</v>
      </c>
      <c r="G355">
        <v>1184.19</v>
      </c>
      <c r="H355">
        <v>13428.16</v>
      </c>
      <c r="I355">
        <f t="shared" si="5"/>
        <v>3954.6399999999994</v>
      </c>
    </row>
    <row r="356" spans="1:9" x14ac:dyDescent="0.3">
      <c r="A356" s="2">
        <v>45803</v>
      </c>
      <c r="B356" t="s">
        <v>362</v>
      </c>
      <c r="C356" t="s">
        <v>508</v>
      </c>
      <c r="D356" t="s">
        <v>514</v>
      </c>
      <c r="E356">
        <v>19</v>
      </c>
      <c r="F356">
        <v>1959.93</v>
      </c>
      <c r="G356">
        <v>1522.72</v>
      </c>
      <c r="H356">
        <v>37238.67</v>
      </c>
      <c r="I356">
        <f t="shared" si="5"/>
        <v>8306.989999999998</v>
      </c>
    </row>
    <row r="357" spans="1:9" x14ac:dyDescent="0.3">
      <c r="A357" s="2">
        <v>45741</v>
      </c>
      <c r="B357" t="s">
        <v>363</v>
      </c>
      <c r="C357" t="s">
        <v>507</v>
      </c>
      <c r="D357" t="s">
        <v>516</v>
      </c>
      <c r="E357">
        <v>2</v>
      </c>
      <c r="F357">
        <v>383.6</v>
      </c>
      <c r="G357">
        <v>333.02</v>
      </c>
      <c r="H357">
        <v>767.2</v>
      </c>
      <c r="I357">
        <f t="shared" si="5"/>
        <v>101.16000000000008</v>
      </c>
    </row>
    <row r="358" spans="1:9" x14ac:dyDescent="0.3">
      <c r="A358" s="2">
        <v>45909</v>
      </c>
      <c r="B358" t="s">
        <v>364</v>
      </c>
      <c r="C358" t="s">
        <v>510</v>
      </c>
      <c r="D358" t="s">
        <v>512</v>
      </c>
      <c r="E358">
        <v>3</v>
      </c>
      <c r="F358">
        <v>1995.85</v>
      </c>
      <c r="G358">
        <v>1659.8</v>
      </c>
      <c r="H358">
        <v>5987.55</v>
      </c>
      <c r="I358">
        <f t="shared" si="5"/>
        <v>1008.1500000000005</v>
      </c>
    </row>
    <row r="359" spans="1:9" x14ac:dyDescent="0.3">
      <c r="A359" s="2">
        <v>45772</v>
      </c>
      <c r="B359" t="s">
        <v>365</v>
      </c>
      <c r="C359" t="s">
        <v>507</v>
      </c>
      <c r="D359" t="s">
        <v>512</v>
      </c>
      <c r="E359">
        <v>17</v>
      </c>
      <c r="F359">
        <v>1612.16</v>
      </c>
      <c r="G359">
        <v>1369.21</v>
      </c>
      <c r="H359">
        <v>27406.720000000001</v>
      </c>
      <c r="I359">
        <f t="shared" si="5"/>
        <v>4130.1500000000015</v>
      </c>
    </row>
    <row r="360" spans="1:9" x14ac:dyDescent="0.3">
      <c r="A360" s="2">
        <v>45621</v>
      </c>
      <c r="B360" t="s">
        <v>366</v>
      </c>
      <c r="C360" t="s">
        <v>510</v>
      </c>
      <c r="D360" t="s">
        <v>515</v>
      </c>
      <c r="E360">
        <v>17</v>
      </c>
      <c r="F360">
        <v>611.95000000000005</v>
      </c>
      <c r="G360">
        <v>497.15</v>
      </c>
      <c r="H360">
        <v>10403.15</v>
      </c>
      <c r="I360">
        <f t="shared" si="5"/>
        <v>1951.6000000000004</v>
      </c>
    </row>
    <row r="361" spans="1:9" x14ac:dyDescent="0.3">
      <c r="A361" s="2">
        <v>45706</v>
      </c>
      <c r="B361" t="s">
        <v>367</v>
      </c>
      <c r="C361" t="s">
        <v>510</v>
      </c>
      <c r="D361" t="s">
        <v>515</v>
      </c>
      <c r="E361">
        <v>2</v>
      </c>
      <c r="F361">
        <v>1462.02</v>
      </c>
      <c r="G361">
        <v>1309.21</v>
      </c>
      <c r="H361">
        <v>2924.04</v>
      </c>
      <c r="I361">
        <f t="shared" si="5"/>
        <v>305.61999999999989</v>
      </c>
    </row>
    <row r="362" spans="1:9" x14ac:dyDescent="0.3">
      <c r="A362" s="2">
        <v>45831</v>
      </c>
      <c r="B362" t="s">
        <v>368</v>
      </c>
      <c r="C362" t="s">
        <v>509</v>
      </c>
      <c r="D362" t="s">
        <v>514</v>
      </c>
      <c r="E362">
        <v>19</v>
      </c>
      <c r="F362">
        <v>639.69000000000005</v>
      </c>
      <c r="G362">
        <v>450.98</v>
      </c>
      <c r="H362">
        <v>12154.11</v>
      </c>
      <c r="I362">
        <f t="shared" si="5"/>
        <v>3585.49</v>
      </c>
    </row>
    <row r="363" spans="1:9" x14ac:dyDescent="0.3">
      <c r="A363" s="2">
        <v>45777</v>
      </c>
      <c r="B363" t="s">
        <v>369</v>
      </c>
      <c r="C363" t="s">
        <v>507</v>
      </c>
      <c r="D363" t="s">
        <v>513</v>
      </c>
      <c r="E363">
        <v>15</v>
      </c>
      <c r="F363">
        <v>1298.79</v>
      </c>
      <c r="G363">
        <v>802.38</v>
      </c>
      <c r="H363">
        <v>19481.849999999999</v>
      </c>
      <c r="I363">
        <f t="shared" si="5"/>
        <v>7446.1499999999978</v>
      </c>
    </row>
    <row r="364" spans="1:9" x14ac:dyDescent="0.3">
      <c r="A364" s="2">
        <v>45908</v>
      </c>
      <c r="B364" t="s">
        <v>370</v>
      </c>
      <c r="C364" t="s">
        <v>507</v>
      </c>
      <c r="D364" t="s">
        <v>516</v>
      </c>
      <c r="E364">
        <v>10</v>
      </c>
      <c r="F364">
        <v>347.69</v>
      </c>
      <c r="G364">
        <v>250.23</v>
      </c>
      <c r="H364">
        <v>3476.9</v>
      </c>
      <c r="I364">
        <f t="shared" si="5"/>
        <v>974.60000000000036</v>
      </c>
    </row>
    <row r="365" spans="1:9" x14ac:dyDescent="0.3">
      <c r="A365" s="2">
        <v>45567</v>
      </c>
      <c r="B365" t="s">
        <v>371</v>
      </c>
      <c r="C365" t="s">
        <v>508</v>
      </c>
      <c r="D365" t="s">
        <v>513</v>
      </c>
      <c r="E365">
        <v>9</v>
      </c>
      <c r="F365">
        <v>481.62</v>
      </c>
      <c r="G365">
        <v>301.35000000000002</v>
      </c>
      <c r="H365">
        <v>4334.58</v>
      </c>
      <c r="I365">
        <f t="shared" si="5"/>
        <v>1622.4299999999998</v>
      </c>
    </row>
    <row r="366" spans="1:9" x14ac:dyDescent="0.3">
      <c r="A366" s="2">
        <v>45855</v>
      </c>
      <c r="B366" t="s">
        <v>372</v>
      </c>
      <c r="C366" t="s">
        <v>510</v>
      </c>
      <c r="D366" t="s">
        <v>515</v>
      </c>
      <c r="E366">
        <v>20</v>
      </c>
      <c r="F366">
        <v>393.83</v>
      </c>
      <c r="G366">
        <v>334.81</v>
      </c>
      <c r="H366">
        <v>7876.6</v>
      </c>
      <c r="I366">
        <f t="shared" si="5"/>
        <v>1180.4000000000005</v>
      </c>
    </row>
    <row r="367" spans="1:9" x14ac:dyDescent="0.3">
      <c r="A367" s="2">
        <v>45629</v>
      </c>
      <c r="B367" t="s">
        <v>373</v>
      </c>
      <c r="C367" t="s">
        <v>510</v>
      </c>
      <c r="D367" t="s">
        <v>516</v>
      </c>
      <c r="E367">
        <v>13</v>
      </c>
      <c r="F367">
        <v>1705.89</v>
      </c>
      <c r="G367">
        <v>1303.5</v>
      </c>
      <c r="H367">
        <v>22176.57</v>
      </c>
      <c r="I367">
        <f t="shared" si="5"/>
        <v>5231.07</v>
      </c>
    </row>
    <row r="368" spans="1:9" x14ac:dyDescent="0.3">
      <c r="A368" s="2">
        <v>45579</v>
      </c>
      <c r="B368" t="s">
        <v>374</v>
      </c>
      <c r="C368" t="s">
        <v>508</v>
      </c>
      <c r="D368" t="s">
        <v>512</v>
      </c>
      <c r="E368">
        <v>20</v>
      </c>
      <c r="F368">
        <v>1209.74</v>
      </c>
      <c r="G368">
        <v>813.7</v>
      </c>
      <c r="H368">
        <v>24194.799999999999</v>
      </c>
      <c r="I368">
        <f t="shared" si="5"/>
        <v>7920.7999999999993</v>
      </c>
    </row>
    <row r="369" spans="1:9" x14ac:dyDescent="0.3">
      <c r="A369" s="2">
        <v>45899</v>
      </c>
      <c r="B369" t="s">
        <v>375</v>
      </c>
      <c r="C369" t="s">
        <v>509</v>
      </c>
      <c r="D369" t="s">
        <v>515</v>
      </c>
      <c r="E369">
        <v>18</v>
      </c>
      <c r="F369">
        <v>1402.54</v>
      </c>
      <c r="G369">
        <v>927.73</v>
      </c>
      <c r="H369">
        <v>25245.72</v>
      </c>
      <c r="I369">
        <f t="shared" si="5"/>
        <v>8546.5800000000017</v>
      </c>
    </row>
    <row r="370" spans="1:9" x14ac:dyDescent="0.3">
      <c r="A370" s="2">
        <v>45899</v>
      </c>
      <c r="B370" t="s">
        <v>376</v>
      </c>
      <c r="C370" t="s">
        <v>509</v>
      </c>
      <c r="D370" t="s">
        <v>514</v>
      </c>
      <c r="E370">
        <v>19</v>
      </c>
      <c r="F370">
        <v>1697.52</v>
      </c>
      <c r="G370">
        <v>1457.22</v>
      </c>
      <c r="H370">
        <v>32252.880000000001</v>
      </c>
      <c r="I370">
        <f t="shared" si="5"/>
        <v>4565.7000000000007</v>
      </c>
    </row>
    <row r="371" spans="1:9" x14ac:dyDescent="0.3">
      <c r="A371" s="2">
        <v>45789</v>
      </c>
      <c r="B371" t="s">
        <v>377</v>
      </c>
      <c r="C371" t="s">
        <v>507</v>
      </c>
      <c r="D371" t="s">
        <v>515</v>
      </c>
      <c r="E371">
        <v>9</v>
      </c>
      <c r="F371">
        <v>697.85</v>
      </c>
      <c r="G371">
        <v>537.94000000000005</v>
      </c>
      <c r="H371">
        <v>6280.65</v>
      </c>
      <c r="I371">
        <f t="shared" si="5"/>
        <v>1439.1899999999987</v>
      </c>
    </row>
    <row r="372" spans="1:9" x14ac:dyDescent="0.3">
      <c r="A372" s="2">
        <v>45830</v>
      </c>
      <c r="B372" t="s">
        <v>378</v>
      </c>
      <c r="C372" t="s">
        <v>508</v>
      </c>
      <c r="D372" t="s">
        <v>516</v>
      </c>
      <c r="E372">
        <v>7</v>
      </c>
      <c r="F372">
        <v>879.8</v>
      </c>
      <c r="G372">
        <v>652.69000000000005</v>
      </c>
      <c r="H372">
        <v>6158.6</v>
      </c>
      <c r="I372">
        <f t="shared" si="5"/>
        <v>1589.7700000000004</v>
      </c>
    </row>
    <row r="373" spans="1:9" x14ac:dyDescent="0.3">
      <c r="A373" s="2">
        <v>45744</v>
      </c>
      <c r="B373" t="s">
        <v>379</v>
      </c>
      <c r="C373" t="s">
        <v>507</v>
      </c>
      <c r="D373" t="s">
        <v>515</v>
      </c>
      <c r="E373">
        <v>10</v>
      </c>
      <c r="F373">
        <v>1254.8699999999999</v>
      </c>
      <c r="G373">
        <v>966.01</v>
      </c>
      <c r="H373">
        <v>12548.7</v>
      </c>
      <c r="I373">
        <f t="shared" si="5"/>
        <v>2888.6000000000004</v>
      </c>
    </row>
    <row r="374" spans="1:9" x14ac:dyDescent="0.3">
      <c r="A374" s="2">
        <v>45829</v>
      </c>
      <c r="B374" t="s">
        <v>380</v>
      </c>
      <c r="C374" t="s">
        <v>508</v>
      </c>
      <c r="D374" t="s">
        <v>513</v>
      </c>
      <c r="E374">
        <v>7</v>
      </c>
      <c r="F374">
        <v>1063.18</v>
      </c>
      <c r="G374">
        <v>914.1</v>
      </c>
      <c r="H374">
        <v>7442.26</v>
      </c>
      <c r="I374">
        <f t="shared" si="5"/>
        <v>1043.5600000000004</v>
      </c>
    </row>
    <row r="375" spans="1:9" x14ac:dyDescent="0.3">
      <c r="A375" s="2">
        <v>45807</v>
      </c>
      <c r="B375" t="s">
        <v>381</v>
      </c>
      <c r="C375" t="s">
        <v>507</v>
      </c>
      <c r="D375" t="s">
        <v>515</v>
      </c>
      <c r="E375">
        <v>11</v>
      </c>
      <c r="F375">
        <v>1413.16</v>
      </c>
      <c r="G375">
        <v>985.54</v>
      </c>
      <c r="H375">
        <v>15544.76</v>
      </c>
      <c r="I375">
        <f t="shared" si="5"/>
        <v>4703.8200000000015</v>
      </c>
    </row>
    <row r="376" spans="1:9" x14ac:dyDescent="0.3">
      <c r="A376" s="2">
        <v>45791</v>
      </c>
      <c r="B376" t="s">
        <v>382</v>
      </c>
      <c r="C376" t="s">
        <v>508</v>
      </c>
      <c r="D376" t="s">
        <v>515</v>
      </c>
      <c r="E376">
        <v>17</v>
      </c>
      <c r="F376">
        <v>837.94</v>
      </c>
      <c r="G376">
        <v>725.4</v>
      </c>
      <c r="H376">
        <v>14244.98</v>
      </c>
      <c r="I376">
        <f t="shared" si="5"/>
        <v>1913.1800000000003</v>
      </c>
    </row>
    <row r="377" spans="1:9" x14ac:dyDescent="0.3">
      <c r="A377" s="2">
        <v>45647</v>
      </c>
      <c r="B377" t="s">
        <v>383</v>
      </c>
      <c r="C377" t="s">
        <v>509</v>
      </c>
      <c r="D377" t="s">
        <v>514</v>
      </c>
      <c r="E377">
        <v>9</v>
      </c>
      <c r="F377">
        <v>643.29</v>
      </c>
      <c r="G377">
        <v>414</v>
      </c>
      <c r="H377">
        <v>5789.61</v>
      </c>
      <c r="I377">
        <f t="shared" si="5"/>
        <v>2063.6099999999997</v>
      </c>
    </row>
    <row r="378" spans="1:9" x14ac:dyDescent="0.3">
      <c r="A378" s="2">
        <v>45639</v>
      </c>
      <c r="B378" t="s">
        <v>384</v>
      </c>
      <c r="C378" t="s">
        <v>510</v>
      </c>
      <c r="D378" t="s">
        <v>512</v>
      </c>
      <c r="E378">
        <v>20</v>
      </c>
      <c r="F378">
        <v>1445.3</v>
      </c>
      <c r="G378">
        <v>994.16</v>
      </c>
      <c r="H378">
        <v>28906</v>
      </c>
      <c r="I378">
        <f t="shared" si="5"/>
        <v>9022.7999999999993</v>
      </c>
    </row>
    <row r="379" spans="1:9" x14ac:dyDescent="0.3">
      <c r="A379" s="2">
        <v>45770</v>
      </c>
      <c r="B379" t="s">
        <v>385</v>
      </c>
      <c r="C379" t="s">
        <v>510</v>
      </c>
      <c r="D379" t="s">
        <v>513</v>
      </c>
      <c r="E379">
        <v>4</v>
      </c>
      <c r="F379">
        <v>569.62</v>
      </c>
      <c r="G379">
        <v>428.92</v>
      </c>
      <c r="H379">
        <v>2278.48</v>
      </c>
      <c r="I379">
        <f t="shared" si="5"/>
        <v>562.79999999999995</v>
      </c>
    </row>
    <row r="380" spans="1:9" x14ac:dyDescent="0.3">
      <c r="A380" s="2">
        <v>45814</v>
      </c>
      <c r="B380" t="s">
        <v>386</v>
      </c>
      <c r="C380" t="s">
        <v>508</v>
      </c>
      <c r="D380" t="s">
        <v>511</v>
      </c>
      <c r="E380">
        <v>8</v>
      </c>
      <c r="F380">
        <v>307.45</v>
      </c>
      <c r="G380">
        <v>217.75</v>
      </c>
      <c r="H380">
        <v>2459.6</v>
      </c>
      <c r="I380">
        <f t="shared" si="5"/>
        <v>717.59999999999991</v>
      </c>
    </row>
    <row r="381" spans="1:9" x14ac:dyDescent="0.3">
      <c r="A381" s="2">
        <v>45784</v>
      </c>
      <c r="B381" t="s">
        <v>387</v>
      </c>
      <c r="C381" t="s">
        <v>509</v>
      </c>
      <c r="D381" t="s">
        <v>511</v>
      </c>
      <c r="E381">
        <v>10</v>
      </c>
      <c r="F381">
        <v>1875.03</v>
      </c>
      <c r="G381">
        <v>1259.28</v>
      </c>
      <c r="H381">
        <v>18750.3</v>
      </c>
      <c r="I381">
        <f t="shared" si="5"/>
        <v>6157.5</v>
      </c>
    </row>
    <row r="382" spans="1:9" x14ac:dyDescent="0.3">
      <c r="A382" s="2">
        <v>45633</v>
      </c>
      <c r="B382" t="s">
        <v>388</v>
      </c>
      <c r="C382" t="s">
        <v>510</v>
      </c>
      <c r="D382" t="s">
        <v>514</v>
      </c>
      <c r="E382">
        <v>20</v>
      </c>
      <c r="F382">
        <v>352.59</v>
      </c>
      <c r="G382">
        <v>248.06</v>
      </c>
      <c r="H382">
        <v>7051.8</v>
      </c>
      <c r="I382">
        <f t="shared" si="5"/>
        <v>2090.6000000000004</v>
      </c>
    </row>
    <row r="383" spans="1:9" x14ac:dyDescent="0.3">
      <c r="A383" s="2">
        <v>45861</v>
      </c>
      <c r="B383" t="s">
        <v>389</v>
      </c>
      <c r="C383" t="s">
        <v>508</v>
      </c>
      <c r="D383" t="s">
        <v>515</v>
      </c>
      <c r="E383">
        <v>17</v>
      </c>
      <c r="F383">
        <v>1263.1600000000001</v>
      </c>
      <c r="G383">
        <v>915.43</v>
      </c>
      <c r="H383">
        <v>21473.72</v>
      </c>
      <c r="I383">
        <f t="shared" si="5"/>
        <v>5911.4100000000017</v>
      </c>
    </row>
    <row r="384" spans="1:9" x14ac:dyDescent="0.3">
      <c r="A384" s="2">
        <v>45858</v>
      </c>
      <c r="B384" t="s">
        <v>390</v>
      </c>
      <c r="C384" t="s">
        <v>508</v>
      </c>
      <c r="D384" t="s">
        <v>514</v>
      </c>
      <c r="E384">
        <v>7</v>
      </c>
      <c r="F384">
        <v>364.27</v>
      </c>
      <c r="G384">
        <v>253.19</v>
      </c>
      <c r="H384">
        <v>2549.89</v>
      </c>
      <c r="I384">
        <f t="shared" si="5"/>
        <v>777.56</v>
      </c>
    </row>
    <row r="385" spans="1:9" x14ac:dyDescent="0.3">
      <c r="A385" s="2">
        <v>45737</v>
      </c>
      <c r="B385" t="s">
        <v>391</v>
      </c>
      <c r="C385" t="s">
        <v>510</v>
      </c>
      <c r="D385" t="s">
        <v>513</v>
      </c>
      <c r="E385">
        <v>13</v>
      </c>
      <c r="F385">
        <v>626.24</v>
      </c>
      <c r="G385">
        <v>453.28</v>
      </c>
      <c r="H385">
        <v>8141.12</v>
      </c>
      <c r="I385">
        <f t="shared" si="5"/>
        <v>2248.4800000000005</v>
      </c>
    </row>
    <row r="386" spans="1:9" x14ac:dyDescent="0.3">
      <c r="A386" s="2">
        <v>45878</v>
      </c>
      <c r="B386" t="s">
        <v>392</v>
      </c>
      <c r="C386" t="s">
        <v>509</v>
      </c>
      <c r="D386" t="s">
        <v>514</v>
      </c>
      <c r="E386">
        <v>4</v>
      </c>
      <c r="F386">
        <v>1271</v>
      </c>
      <c r="G386">
        <v>912.5</v>
      </c>
      <c r="H386">
        <v>5084</v>
      </c>
      <c r="I386">
        <f t="shared" si="5"/>
        <v>1434</v>
      </c>
    </row>
    <row r="387" spans="1:9" x14ac:dyDescent="0.3">
      <c r="A387" s="2">
        <v>45761</v>
      </c>
      <c r="B387" t="s">
        <v>393</v>
      </c>
      <c r="C387" t="s">
        <v>508</v>
      </c>
      <c r="D387" t="s">
        <v>514</v>
      </c>
      <c r="E387">
        <v>10</v>
      </c>
      <c r="F387">
        <v>1721.79</v>
      </c>
      <c r="G387">
        <v>1317.56</v>
      </c>
      <c r="H387">
        <v>17217.900000000001</v>
      </c>
      <c r="I387">
        <f t="shared" ref="I387:I450" si="6">H387-(G387*E387)</f>
        <v>4042.3000000000029</v>
      </c>
    </row>
    <row r="388" spans="1:9" x14ac:dyDescent="0.3">
      <c r="A388" s="2">
        <v>45767</v>
      </c>
      <c r="B388" t="s">
        <v>394</v>
      </c>
      <c r="C388" t="s">
        <v>507</v>
      </c>
      <c r="D388" t="s">
        <v>511</v>
      </c>
      <c r="E388">
        <v>13</v>
      </c>
      <c r="F388">
        <v>734.12</v>
      </c>
      <c r="G388">
        <v>543.19000000000005</v>
      </c>
      <c r="H388">
        <v>9543.56</v>
      </c>
      <c r="I388">
        <f t="shared" si="6"/>
        <v>2482.0899999999983</v>
      </c>
    </row>
    <row r="389" spans="1:9" x14ac:dyDescent="0.3">
      <c r="A389" s="2">
        <v>45755</v>
      </c>
      <c r="B389" t="s">
        <v>395</v>
      </c>
      <c r="C389" t="s">
        <v>509</v>
      </c>
      <c r="D389" t="s">
        <v>516</v>
      </c>
      <c r="E389">
        <v>15</v>
      </c>
      <c r="F389">
        <v>201.69</v>
      </c>
      <c r="G389">
        <v>122.09</v>
      </c>
      <c r="H389">
        <v>3025.35</v>
      </c>
      <c r="I389">
        <f t="shared" si="6"/>
        <v>1193.9999999999998</v>
      </c>
    </row>
    <row r="390" spans="1:9" x14ac:dyDescent="0.3">
      <c r="A390" s="2">
        <v>45804</v>
      </c>
      <c r="B390" t="s">
        <v>396</v>
      </c>
      <c r="C390" t="s">
        <v>509</v>
      </c>
      <c r="D390" t="s">
        <v>511</v>
      </c>
      <c r="E390">
        <v>10</v>
      </c>
      <c r="F390">
        <v>524.66</v>
      </c>
      <c r="G390">
        <v>345.74</v>
      </c>
      <c r="H390">
        <v>5246.6</v>
      </c>
      <c r="I390">
        <f t="shared" si="6"/>
        <v>1789.2000000000003</v>
      </c>
    </row>
    <row r="391" spans="1:9" x14ac:dyDescent="0.3">
      <c r="A391" s="2">
        <v>45709</v>
      </c>
      <c r="B391" t="s">
        <v>397</v>
      </c>
      <c r="C391" t="s">
        <v>507</v>
      </c>
      <c r="D391" t="s">
        <v>516</v>
      </c>
      <c r="E391">
        <v>19</v>
      </c>
      <c r="F391">
        <v>506.57</v>
      </c>
      <c r="G391">
        <v>371.72</v>
      </c>
      <c r="H391">
        <v>9624.83</v>
      </c>
      <c r="I391">
        <f t="shared" si="6"/>
        <v>2562.1499999999996</v>
      </c>
    </row>
    <row r="392" spans="1:9" x14ac:dyDescent="0.3">
      <c r="A392" s="2">
        <v>45812</v>
      </c>
      <c r="B392" t="s">
        <v>398</v>
      </c>
      <c r="C392" t="s">
        <v>509</v>
      </c>
      <c r="D392" t="s">
        <v>512</v>
      </c>
      <c r="E392">
        <v>14</v>
      </c>
      <c r="F392">
        <v>1245.1600000000001</v>
      </c>
      <c r="G392">
        <v>803.68</v>
      </c>
      <c r="H392">
        <v>17432.240000000002</v>
      </c>
      <c r="I392">
        <f t="shared" si="6"/>
        <v>6180.720000000003</v>
      </c>
    </row>
    <row r="393" spans="1:9" x14ac:dyDescent="0.3">
      <c r="A393" s="2">
        <v>45769</v>
      </c>
      <c r="B393" t="s">
        <v>399</v>
      </c>
      <c r="C393" t="s">
        <v>509</v>
      </c>
      <c r="D393" t="s">
        <v>513</v>
      </c>
      <c r="E393">
        <v>7</v>
      </c>
      <c r="F393">
        <v>550.87</v>
      </c>
      <c r="G393">
        <v>476.67</v>
      </c>
      <c r="H393">
        <v>3856.09</v>
      </c>
      <c r="I393">
        <f t="shared" si="6"/>
        <v>519.40000000000009</v>
      </c>
    </row>
    <row r="394" spans="1:9" x14ac:dyDescent="0.3">
      <c r="A394" s="2">
        <v>45851</v>
      </c>
      <c r="B394" t="s">
        <v>400</v>
      </c>
      <c r="C394" t="s">
        <v>508</v>
      </c>
      <c r="D394" t="s">
        <v>514</v>
      </c>
      <c r="E394">
        <v>1</v>
      </c>
      <c r="F394">
        <v>1666.26</v>
      </c>
      <c r="G394">
        <v>1317.57</v>
      </c>
      <c r="H394">
        <v>1666.26</v>
      </c>
      <c r="I394">
        <f t="shared" si="6"/>
        <v>348.69000000000005</v>
      </c>
    </row>
    <row r="395" spans="1:9" x14ac:dyDescent="0.3">
      <c r="A395" s="2">
        <v>45788</v>
      </c>
      <c r="B395" t="s">
        <v>401</v>
      </c>
      <c r="C395" t="s">
        <v>507</v>
      </c>
      <c r="D395" t="s">
        <v>511</v>
      </c>
      <c r="E395">
        <v>19</v>
      </c>
      <c r="F395">
        <v>1189.4000000000001</v>
      </c>
      <c r="G395">
        <v>790.88</v>
      </c>
      <c r="H395">
        <v>22598.6</v>
      </c>
      <c r="I395">
        <f t="shared" si="6"/>
        <v>7571.8799999999992</v>
      </c>
    </row>
    <row r="396" spans="1:9" x14ac:dyDescent="0.3">
      <c r="A396" s="2">
        <v>45850</v>
      </c>
      <c r="B396" t="s">
        <v>402</v>
      </c>
      <c r="C396" t="s">
        <v>509</v>
      </c>
      <c r="D396" t="s">
        <v>511</v>
      </c>
      <c r="E396">
        <v>11</v>
      </c>
      <c r="F396">
        <v>475.18</v>
      </c>
      <c r="G396">
        <v>297.25</v>
      </c>
      <c r="H396">
        <v>5226.9799999999996</v>
      </c>
      <c r="I396">
        <f t="shared" si="6"/>
        <v>1957.2299999999996</v>
      </c>
    </row>
    <row r="397" spans="1:9" x14ac:dyDescent="0.3">
      <c r="A397" s="2">
        <v>45803</v>
      </c>
      <c r="B397" t="s">
        <v>403</v>
      </c>
      <c r="C397" t="s">
        <v>509</v>
      </c>
      <c r="D397" t="s">
        <v>516</v>
      </c>
      <c r="E397">
        <v>20</v>
      </c>
      <c r="F397">
        <v>464.25</v>
      </c>
      <c r="G397">
        <v>370.12</v>
      </c>
      <c r="H397">
        <v>9285</v>
      </c>
      <c r="I397">
        <f t="shared" si="6"/>
        <v>1882.6000000000004</v>
      </c>
    </row>
    <row r="398" spans="1:9" x14ac:dyDescent="0.3">
      <c r="A398" s="2">
        <v>45613</v>
      </c>
      <c r="B398" t="s">
        <v>404</v>
      </c>
      <c r="C398" t="s">
        <v>508</v>
      </c>
      <c r="D398" t="s">
        <v>512</v>
      </c>
      <c r="E398">
        <v>2</v>
      </c>
      <c r="F398">
        <v>1372.97</v>
      </c>
      <c r="G398">
        <v>1071.81</v>
      </c>
      <c r="H398">
        <v>2745.94</v>
      </c>
      <c r="I398">
        <f t="shared" si="6"/>
        <v>602.32000000000016</v>
      </c>
    </row>
    <row r="399" spans="1:9" x14ac:dyDescent="0.3">
      <c r="A399" s="2">
        <v>45859</v>
      </c>
      <c r="B399" t="s">
        <v>405</v>
      </c>
      <c r="C399" t="s">
        <v>507</v>
      </c>
      <c r="D399" t="s">
        <v>513</v>
      </c>
      <c r="E399">
        <v>20</v>
      </c>
      <c r="F399">
        <v>769.65</v>
      </c>
      <c r="G399">
        <v>678.63</v>
      </c>
      <c r="H399">
        <v>15393</v>
      </c>
      <c r="I399">
        <f t="shared" si="6"/>
        <v>1820.3999999999996</v>
      </c>
    </row>
    <row r="400" spans="1:9" x14ac:dyDescent="0.3">
      <c r="A400" s="2">
        <v>45762</v>
      </c>
      <c r="B400" t="s">
        <v>406</v>
      </c>
      <c r="C400" t="s">
        <v>509</v>
      </c>
      <c r="D400" t="s">
        <v>514</v>
      </c>
      <c r="E400">
        <v>9</v>
      </c>
      <c r="F400">
        <v>1834.32</v>
      </c>
      <c r="G400">
        <v>1628.66</v>
      </c>
      <c r="H400">
        <v>16508.88</v>
      </c>
      <c r="I400">
        <f t="shared" si="6"/>
        <v>1850.9400000000005</v>
      </c>
    </row>
    <row r="401" spans="1:9" x14ac:dyDescent="0.3">
      <c r="A401" s="2">
        <v>45772</v>
      </c>
      <c r="B401" t="s">
        <v>407</v>
      </c>
      <c r="C401" t="s">
        <v>509</v>
      </c>
      <c r="D401" t="s">
        <v>515</v>
      </c>
      <c r="E401">
        <v>5</v>
      </c>
      <c r="F401">
        <v>1020.96</v>
      </c>
      <c r="G401">
        <v>775.68</v>
      </c>
      <c r="H401">
        <v>5104.8</v>
      </c>
      <c r="I401">
        <f t="shared" si="6"/>
        <v>1226.4000000000005</v>
      </c>
    </row>
    <row r="402" spans="1:9" x14ac:dyDescent="0.3">
      <c r="A402" s="2">
        <v>45838</v>
      </c>
      <c r="B402" t="s">
        <v>408</v>
      </c>
      <c r="C402" t="s">
        <v>510</v>
      </c>
      <c r="D402" t="s">
        <v>516</v>
      </c>
      <c r="E402">
        <v>3</v>
      </c>
      <c r="F402">
        <v>1228.28</v>
      </c>
      <c r="G402">
        <v>1103.71</v>
      </c>
      <c r="H402">
        <v>3684.84</v>
      </c>
      <c r="I402">
        <f t="shared" si="6"/>
        <v>373.71000000000004</v>
      </c>
    </row>
    <row r="403" spans="1:9" x14ac:dyDescent="0.3">
      <c r="A403" s="2">
        <v>45560</v>
      </c>
      <c r="B403" t="s">
        <v>409</v>
      </c>
      <c r="C403" t="s">
        <v>509</v>
      </c>
      <c r="D403" t="s">
        <v>513</v>
      </c>
      <c r="E403">
        <v>8</v>
      </c>
      <c r="F403">
        <v>522.26</v>
      </c>
      <c r="G403">
        <v>438.44</v>
      </c>
      <c r="H403">
        <v>4178.08</v>
      </c>
      <c r="I403">
        <f t="shared" si="6"/>
        <v>670.56</v>
      </c>
    </row>
    <row r="404" spans="1:9" x14ac:dyDescent="0.3">
      <c r="A404" s="2">
        <v>45684</v>
      </c>
      <c r="B404" t="s">
        <v>410</v>
      </c>
      <c r="C404" t="s">
        <v>508</v>
      </c>
      <c r="D404" t="s">
        <v>511</v>
      </c>
      <c r="E404">
        <v>18</v>
      </c>
      <c r="F404">
        <v>1459.91</v>
      </c>
      <c r="G404">
        <v>1299.6099999999999</v>
      </c>
      <c r="H404">
        <v>26278.38</v>
      </c>
      <c r="I404">
        <f t="shared" si="6"/>
        <v>2885.4000000000015</v>
      </c>
    </row>
    <row r="405" spans="1:9" x14ac:dyDescent="0.3">
      <c r="A405" s="2">
        <v>45913</v>
      </c>
      <c r="B405" t="s">
        <v>411</v>
      </c>
      <c r="C405" t="s">
        <v>508</v>
      </c>
      <c r="D405" t="s">
        <v>515</v>
      </c>
      <c r="E405">
        <v>17</v>
      </c>
      <c r="F405">
        <v>375.39</v>
      </c>
      <c r="G405">
        <v>284.08999999999997</v>
      </c>
      <c r="H405">
        <v>6381.63</v>
      </c>
      <c r="I405">
        <f t="shared" si="6"/>
        <v>1552.1000000000004</v>
      </c>
    </row>
    <row r="406" spans="1:9" x14ac:dyDescent="0.3">
      <c r="A406" s="2">
        <v>45597</v>
      </c>
      <c r="B406" t="s">
        <v>412</v>
      </c>
      <c r="C406" t="s">
        <v>508</v>
      </c>
      <c r="D406" t="s">
        <v>511</v>
      </c>
      <c r="E406">
        <v>3</v>
      </c>
      <c r="F406">
        <v>585.55999999999995</v>
      </c>
      <c r="G406">
        <v>511.5</v>
      </c>
      <c r="H406">
        <v>1756.68</v>
      </c>
      <c r="I406">
        <f t="shared" si="6"/>
        <v>222.18000000000006</v>
      </c>
    </row>
    <row r="407" spans="1:9" x14ac:dyDescent="0.3">
      <c r="A407" s="2">
        <v>45726</v>
      </c>
      <c r="B407" t="s">
        <v>413</v>
      </c>
      <c r="C407" t="s">
        <v>507</v>
      </c>
      <c r="D407" t="s">
        <v>514</v>
      </c>
      <c r="E407">
        <v>2</v>
      </c>
      <c r="F407">
        <v>1523</v>
      </c>
      <c r="G407">
        <v>1076.8599999999999</v>
      </c>
      <c r="H407">
        <v>3046</v>
      </c>
      <c r="I407">
        <f t="shared" si="6"/>
        <v>892.2800000000002</v>
      </c>
    </row>
    <row r="408" spans="1:9" x14ac:dyDescent="0.3">
      <c r="A408" s="2">
        <v>45769</v>
      </c>
      <c r="B408" t="s">
        <v>414</v>
      </c>
      <c r="C408" t="s">
        <v>507</v>
      </c>
      <c r="D408" t="s">
        <v>515</v>
      </c>
      <c r="E408">
        <v>15</v>
      </c>
      <c r="F408">
        <v>1239.3399999999999</v>
      </c>
      <c r="G408">
        <v>824.25</v>
      </c>
      <c r="H408">
        <v>18590.099999999999</v>
      </c>
      <c r="I408">
        <f t="shared" si="6"/>
        <v>6226.3499999999985</v>
      </c>
    </row>
    <row r="409" spans="1:9" x14ac:dyDescent="0.3">
      <c r="A409" s="2">
        <v>45645</v>
      </c>
      <c r="B409" t="s">
        <v>415</v>
      </c>
      <c r="C409" t="s">
        <v>509</v>
      </c>
      <c r="D409" t="s">
        <v>512</v>
      </c>
      <c r="E409">
        <v>5</v>
      </c>
      <c r="F409">
        <v>1586.49</v>
      </c>
      <c r="G409">
        <v>1403.76</v>
      </c>
      <c r="H409">
        <v>7932.45</v>
      </c>
      <c r="I409">
        <f t="shared" si="6"/>
        <v>913.64999999999964</v>
      </c>
    </row>
    <row r="410" spans="1:9" x14ac:dyDescent="0.3">
      <c r="A410" s="2">
        <v>45680</v>
      </c>
      <c r="B410" t="s">
        <v>416</v>
      </c>
      <c r="C410" t="s">
        <v>510</v>
      </c>
      <c r="D410" t="s">
        <v>513</v>
      </c>
      <c r="E410">
        <v>13</v>
      </c>
      <c r="F410">
        <v>1274.27</v>
      </c>
      <c r="G410">
        <v>776.16</v>
      </c>
      <c r="H410">
        <v>16565.509999999998</v>
      </c>
      <c r="I410">
        <f t="shared" si="6"/>
        <v>6475.4299999999985</v>
      </c>
    </row>
    <row r="411" spans="1:9" x14ac:dyDescent="0.3">
      <c r="A411" s="2">
        <v>45683</v>
      </c>
      <c r="B411" t="s">
        <v>417</v>
      </c>
      <c r="C411" t="s">
        <v>508</v>
      </c>
      <c r="D411" t="s">
        <v>511</v>
      </c>
      <c r="E411">
        <v>8</v>
      </c>
      <c r="F411">
        <v>1157.03</v>
      </c>
      <c r="G411">
        <v>949.2</v>
      </c>
      <c r="H411">
        <v>9256.24</v>
      </c>
      <c r="I411">
        <f t="shared" si="6"/>
        <v>1662.6399999999994</v>
      </c>
    </row>
    <row r="412" spans="1:9" x14ac:dyDescent="0.3">
      <c r="A412" s="2">
        <v>45692</v>
      </c>
      <c r="B412" t="s">
        <v>418</v>
      </c>
      <c r="C412" t="s">
        <v>508</v>
      </c>
      <c r="D412" t="s">
        <v>511</v>
      </c>
      <c r="E412">
        <v>12</v>
      </c>
      <c r="F412">
        <v>818.43</v>
      </c>
      <c r="G412">
        <v>569.79999999999995</v>
      </c>
      <c r="H412">
        <v>9821.16</v>
      </c>
      <c r="I412">
        <f t="shared" si="6"/>
        <v>2983.5600000000004</v>
      </c>
    </row>
    <row r="413" spans="1:9" x14ac:dyDescent="0.3">
      <c r="A413" s="2">
        <v>45663</v>
      </c>
      <c r="B413" t="s">
        <v>419</v>
      </c>
      <c r="C413" t="s">
        <v>510</v>
      </c>
      <c r="D413" t="s">
        <v>512</v>
      </c>
      <c r="E413">
        <v>3</v>
      </c>
      <c r="F413">
        <v>1755.8</v>
      </c>
      <c r="G413">
        <v>1063.46</v>
      </c>
      <c r="H413">
        <v>5267.4</v>
      </c>
      <c r="I413">
        <f t="shared" si="6"/>
        <v>2077.0199999999995</v>
      </c>
    </row>
    <row r="414" spans="1:9" x14ac:dyDescent="0.3">
      <c r="A414" s="2">
        <v>45572</v>
      </c>
      <c r="B414" t="s">
        <v>420</v>
      </c>
      <c r="C414" t="s">
        <v>509</v>
      </c>
      <c r="D414" t="s">
        <v>515</v>
      </c>
      <c r="E414">
        <v>4</v>
      </c>
      <c r="F414">
        <v>1961.62</v>
      </c>
      <c r="G414">
        <v>1591.39</v>
      </c>
      <c r="H414">
        <v>7846.48</v>
      </c>
      <c r="I414">
        <f t="shared" si="6"/>
        <v>1480.9199999999992</v>
      </c>
    </row>
    <row r="415" spans="1:9" x14ac:dyDescent="0.3">
      <c r="A415" s="2">
        <v>45837</v>
      </c>
      <c r="B415" t="s">
        <v>421</v>
      </c>
      <c r="C415" t="s">
        <v>510</v>
      </c>
      <c r="D415" t="s">
        <v>514</v>
      </c>
      <c r="E415">
        <v>17</v>
      </c>
      <c r="F415">
        <v>952.01</v>
      </c>
      <c r="G415">
        <v>624.84</v>
      </c>
      <c r="H415">
        <v>16184.17</v>
      </c>
      <c r="I415">
        <f t="shared" si="6"/>
        <v>5561.8899999999994</v>
      </c>
    </row>
    <row r="416" spans="1:9" x14ac:dyDescent="0.3">
      <c r="A416" s="2">
        <v>45792</v>
      </c>
      <c r="B416" t="s">
        <v>422</v>
      </c>
      <c r="C416" t="s">
        <v>510</v>
      </c>
      <c r="D416" t="s">
        <v>516</v>
      </c>
      <c r="E416">
        <v>3</v>
      </c>
      <c r="F416">
        <v>350.08</v>
      </c>
      <c r="G416">
        <v>272.12</v>
      </c>
      <c r="H416">
        <v>1050.24</v>
      </c>
      <c r="I416">
        <f t="shared" si="6"/>
        <v>233.88</v>
      </c>
    </row>
    <row r="417" spans="1:9" x14ac:dyDescent="0.3">
      <c r="A417" s="2">
        <v>45762</v>
      </c>
      <c r="B417" t="s">
        <v>423</v>
      </c>
      <c r="C417" t="s">
        <v>510</v>
      </c>
      <c r="D417" t="s">
        <v>514</v>
      </c>
      <c r="E417">
        <v>14</v>
      </c>
      <c r="F417">
        <v>115.02</v>
      </c>
      <c r="G417">
        <v>96.68</v>
      </c>
      <c r="H417">
        <v>1610.28</v>
      </c>
      <c r="I417">
        <f t="shared" si="6"/>
        <v>256.76</v>
      </c>
    </row>
    <row r="418" spans="1:9" x14ac:dyDescent="0.3">
      <c r="A418" s="2">
        <v>45645</v>
      </c>
      <c r="B418" t="s">
        <v>424</v>
      </c>
      <c r="C418" t="s">
        <v>507</v>
      </c>
      <c r="D418" t="s">
        <v>511</v>
      </c>
      <c r="E418">
        <v>20</v>
      </c>
      <c r="F418">
        <v>731.31</v>
      </c>
      <c r="G418">
        <v>468.35</v>
      </c>
      <c r="H418">
        <v>14626.2</v>
      </c>
      <c r="I418">
        <f t="shared" si="6"/>
        <v>5259.2000000000007</v>
      </c>
    </row>
    <row r="419" spans="1:9" x14ac:dyDescent="0.3">
      <c r="A419" s="2">
        <v>45884</v>
      </c>
      <c r="B419" t="s">
        <v>425</v>
      </c>
      <c r="C419" t="s">
        <v>508</v>
      </c>
      <c r="D419" t="s">
        <v>515</v>
      </c>
      <c r="E419">
        <v>6</v>
      </c>
      <c r="F419">
        <v>875.18</v>
      </c>
      <c r="G419">
        <v>599.79999999999995</v>
      </c>
      <c r="H419">
        <v>5251.08</v>
      </c>
      <c r="I419">
        <f t="shared" si="6"/>
        <v>1652.2800000000002</v>
      </c>
    </row>
    <row r="420" spans="1:9" x14ac:dyDescent="0.3">
      <c r="A420" s="2">
        <v>45743</v>
      </c>
      <c r="B420" t="s">
        <v>426</v>
      </c>
      <c r="C420" t="s">
        <v>510</v>
      </c>
      <c r="D420" t="s">
        <v>511</v>
      </c>
      <c r="E420">
        <v>6</v>
      </c>
      <c r="F420">
        <v>993.34</v>
      </c>
      <c r="G420">
        <v>700.77</v>
      </c>
      <c r="H420">
        <v>5960.04</v>
      </c>
      <c r="I420">
        <f t="shared" si="6"/>
        <v>1755.42</v>
      </c>
    </row>
    <row r="421" spans="1:9" x14ac:dyDescent="0.3">
      <c r="A421" s="2">
        <v>45795</v>
      </c>
      <c r="B421" t="s">
        <v>427</v>
      </c>
      <c r="C421" t="s">
        <v>507</v>
      </c>
      <c r="D421" t="s">
        <v>516</v>
      </c>
      <c r="E421">
        <v>14</v>
      </c>
      <c r="F421">
        <v>1423.14</v>
      </c>
      <c r="G421">
        <v>1032.28</v>
      </c>
      <c r="H421">
        <v>19923.96</v>
      </c>
      <c r="I421">
        <f t="shared" si="6"/>
        <v>5472.0399999999991</v>
      </c>
    </row>
    <row r="422" spans="1:9" x14ac:dyDescent="0.3">
      <c r="A422" s="2">
        <v>45836</v>
      </c>
      <c r="B422" t="s">
        <v>428</v>
      </c>
      <c r="C422" t="s">
        <v>508</v>
      </c>
      <c r="D422" t="s">
        <v>511</v>
      </c>
      <c r="E422">
        <v>17</v>
      </c>
      <c r="F422">
        <v>1340.65</v>
      </c>
      <c r="G422">
        <v>979.04</v>
      </c>
      <c r="H422">
        <v>22791.05</v>
      </c>
      <c r="I422">
        <f t="shared" si="6"/>
        <v>6147.369999999999</v>
      </c>
    </row>
    <row r="423" spans="1:9" x14ac:dyDescent="0.3">
      <c r="A423" s="2">
        <v>45676</v>
      </c>
      <c r="B423" t="s">
        <v>429</v>
      </c>
      <c r="C423" t="s">
        <v>507</v>
      </c>
      <c r="D423" t="s">
        <v>513</v>
      </c>
      <c r="E423">
        <v>8</v>
      </c>
      <c r="F423">
        <v>684.2</v>
      </c>
      <c r="G423">
        <v>569.59</v>
      </c>
      <c r="H423">
        <v>5473.6</v>
      </c>
      <c r="I423">
        <f t="shared" si="6"/>
        <v>916.88000000000011</v>
      </c>
    </row>
    <row r="424" spans="1:9" x14ac:dyDescent="0.3">
      <c r="A424" s="2">
        <v>45624</v>
      </c>
      <c r="B424" t="s">
        <v>430</v>
      </c>
      <c r="C424" t="s">
        <v>507</v>
      </c>
      <c r="D424" t="s">
        <v>512</v>
      </c>
      <c r="E424">
        <v>19</v>
      </c>
      <c r="F424">
        <v>1528.88</v>
      </c>
      <c r="G424">
        <v>1135.75</v>
      </c>
      <c r="H424">
        <v>29048.720000000001</v>
      </c>
      <c r="I424">
        <f t="shared" si="6"/>
        <v>7469.4700000000012</v>
      </c>
    </row>
    <row r="425" spans="1:9" x14ac:dyDescent="0.3">
      <c r="A425" s="2">
        <v>45697</v>
      </c>
      <c r="B425" t="s">
        <v>431</v>
      </c>
      <c r="C425" t="s">
        <v>510</v>
      </c>
      <c r="D425" t="s">
        <v>515</v>
      </c>
      <c r="E425">
        <v>2</v>
      </c>
      <c r="F425">
        <v>502.73</v>
      </c>
      <c r="G425">
        <v>306.8</v>
      </c>
      <c r="H425">
        <v>1005.46</v>
      </c>
      <c r="I425">
        <f t="shared" si="6"/>
        <v>391.86</v>
      </c>
    </row>
    <row r="426" spans="1:9" x14ac:dyDescent="0.3">
      <c r="A426" s="2">
        <v>45767</v>
      </c>
      <c r="B426" t="s">
        <v>432</v>
      </c>
      <c r="C426" t="s">
        <v>509</v>
      </c>
      <c r="D426" t="s">
        <v>516</v>
      </c>
      <c r="E426">
        <v>2</v>
      </c>
      <c r="F426">
        <v>512.87</v>
      </c>
      <c r="G426">
        <v>431.28</v>
      </c>
      <c r="H426">
        <v>1025.74</v>
      </c>
      <c r="I426">
        <f t="shared" si="6"/>
        <v>163.18000000000006</v>
      </c>
    </row>
    <row r="427" spans="1:9" x14ac:dyDescent="0.3">
      <c r="A427" s="2">
        <v>45890</v>
      </c>
      <c r="B427" t="s">
        <v>433</v>
      </c>
      <c r="C427" t="s">
        <v>508</v>
      </c>
      <c r="D427" t="s">
        <v>514</v>
      </c>
      <c r="E427">
        <v>4</v>
      </c>
      <c r="F427">
        <v>1199.73</v>
      </c>
      <c r="G427">
        <v>830.08</v>
      </c>
      <c r="H427">
        <v>4798.92</v>
      </c>
      <c r="I427">
        <f t="shared" si="6"/>
        <v>1478.6</v>
      </c>
    </row>
    <row r="428" spans="1:9" x14ac:dyDescent="0.3">
      <c r="A428" s="2">
        <v>45613</v>
      </c>
      <c r="B428" t="s">
        <v>434</v>
      </c>
      <c r="C428" t="s">
        <v>509</v>
      </c>
      <c r="D428" t="s">
        <v>512</v>
      </c>
      <c r="E428">
        <v>17</v>
      </c>
      <c r="F428">
        <v>554.4</v>
      </c>
      <c r="G428">
        <v>408.34</v>
      </c>
      <c r="H428">
        <v>9424.7999999999993</v>
      </c>
      <c r="I428">
        <f t="shared" si="6"/>
        <v>2483.0199999999995</v>
      </c>
    </row>
    <row r="429" spans="1:9" x14ac:dyDescent="0.3">
      <c r="A429" s="2">
        <v>45911</v>
      </c>
      <c r="B429" t="s">
        <v>435</v>
      </c>
      <c r="C429" t="s">
        <v>510</v>
      </c>
      <c r="D429" t="s">
        <v>514</v>
      </c>
      <c r="E429">
        <v>11</v>
      </c>
      <c r="F429">
        <v>363.54</v>
      </c>
      <c r="G429">
        <v>276.05</v>
      </c>
      <c r="H429">
        <v>3998.94</v>
      </c>
      <c r="I429">
        <f t="shared" si="6"/>
        <v>962.38999999999987</v>
      </c>
    </row>
    <row r="430" spans="1:9" x14ac:dyDescent="0.3">
      <c r="A430" s="2">
        <v>45831</v>
      </c>
      <c r="B430" t="s">
        <v>436</v>
      </c>
      <c r="C430" t="s">
        <v>509</v>
      </c>
      <c r="D430" t="s">
        <v>515</v>
      </c>
      <c r="E430">
        <v>5</v>
      </c>
      <c r="F430">
        <v>605.54999999999995</v>
      </c>
      <c r="G430">
        <v>464.8</v>
      </c>
      <c r="H430">
        <v>3027.75</v>
      </c>
      <c r="I430">
        <f t="shared" si="6"/>
        <v>703.75</v>
      </c>
    </row>
    <row r="431" spans="1:9" x14ac:dyDescent="0.3">
      <c r="A431" s="2">
        <v>45800</v>
      </c>
      <c r="B431" t="s">
        <v>437</v>
      </c>
      <c r="C431" t="s">
        <v>508</v>
      </c>
      <c r="D431" t="s">
        <v>512</v>
      </c>
      <c r="E431">
        <v>3</v>
      </c>
      <c r="F431">
        <v>779.53</v>
      </c>
      <c r="G431">
        <v>656.37</v>
      </c>
      <c r="H431">
        <v>2338.59</v>
      </c>
      <c r="I431">
        <f t="shared" si="6"/>
        <v>369.48</v>
      </c>
    </row>
    <row r="432" spans="1:9" x14ac:dyDescent="0.3">
      <c r="A432" s="2">
        <v>45804</v>
      </c>
      <c r="B432" t="s">
        <v>438</v>
      </c>
      <c r="C432" t="s">
        <v>509</v>
      </c>
      <c r="D432" t="s">
        <v>516</v>
      </c>
      <c r="E432">
        <v>19</v>
      </c>
      <c r="F432">
        <v>612.71</v>
      </c>
      <c r="G432">
        <v>436.04</v>
      </c>
      <c r="H432">
        <v>11641.49</v>
      </c>
      <c r="I432">
        <f t="shared" si="6"/>
        <v>3356.7299999999996</v>
      </c>
    </row>
    <row r="433" spans="1:9" x14ac:dyDescent="0.3">
      <c r="A433" s="2">
        <v>45562</v>
      </c>
      <c r="B433" t="s">
        <v>439</v>
      </c>
      <c r="C433" t="s">
        <v>508</v>
      </c>
      <c r="D433" t="s">
        <v>512</v>
      </c>
      <c r="E433">
        <v>19</v>
      </c>
      <c r="F433">
        <v>493.14</v>
      </c>
      <c r="G433">
        <v>306.04000000000002</v>
      </c>
      <c r="H433">
        <v>9369.66</v>
      </c>
      <c r="I433">
        <f t="shared" si="6"/>
        <v>3554.8999999999996</v>
      </c>
    </row>
    <row r="434" spans="1:9" x14ac:dyDescent="0.3">
      <c r="A434" s="2">
        <v>45558</v>
      </c>
      <c r="B434" t="s">
        <v>440</v>
      </c>
      <c r="C434" t="s">
        <v>507</v>
      </c>
      <c r="D434" t="s">
        <v>511</v>
      </c>
      <c r="E434">
        <v>8</v>
      </c>
      <c r="F434">
        <v>1241.1199999999999</v>
      </c>
      <c r="G434">
        <v>968.59</v>
      </c>
      <c r="H434">
        <v>9928.9599999999991</v>
      </c>
      <c r="I434">
        <f t="shared" si="6"/>
        <v>2180.2399999999989</v>
      </c>
    </row>
    <row r="435" spans="1:9" x14ac:dyDescent="0.3">
      <c r="A435" s="2">
        <v>45706</v>
      </c>
      <c r="B435" t="s">
        <v>441</v>
      </c>
      <c r="C435" t="s">
        <v>510</v>
      </c>
      <c r="D435" t="s">
        <v>516</v>
      </c>
      <c r="E435">
        <v>19</v>
      </c>
      <c r="F435">
        <v>821.67</v>
      </c>
      <c r="G435">
        <v>592.02</v>
      </c>
      <c r="H435">
        <v>15611.73</v>
      </c>
      <c r="I435">
        <f t="shared" si="6"/>
        <v>4363.3500000000004</v>
      </c>
    </row>
    <row r="436" spans="1:9" x14ac:dyDescent="0.3">
      <c r="A436" s="2">
        <v>45595</v>
      </c>
      <c r="B436" t="s">
        <v>442</v>
      </c>
      <c r="C436" t="s">
        <v>509</v>
      </c>
      <c r="D436" t="s">
        <v>514</v>
      </c>
      <c r="E436">
        <v>2</v>
      </c>
      <c r="F436">
        <v>900.37</v>
      </c>
      <c r="G436">
        <v>746.78</v>
      </c>
      <c r="H436">
        <v>1800.74</v>
      </c>
      <c r="I436">
        <f t="shared" si="6"/>
        <v>307.18000000000006</v>
      </c>
    </row>
    <row r="437" spans="1:9" x14ac:dyDescent="0.3">
      <c r="A437" s="2">
        <v>45883</v>
      </c>
      <c r="B437" t="s">
        <v>443</v>
      </c>
      <c r="C437" t="s">
        <v>510</v>
      </c>
      <c r="D437" t="s">
        <v>511</v>
      </c>
      <c r="E437">
        <v>16</v>
      </c>
      <c r="F437">
        <v>1103.28</v>
      </c>
      <c r="G437">
        <v>671.19</v>
      </c>
      <c r="H437">
        <v>17652.48</v>
      </c>
      <c r="I437">
        <f t="shared" si="6"/>
        <v>6913.4399999999987</v>
      </c>
    </row>
    <row r="438" spans="1:9" x14ac:dyDescent="0.3">
      <c r="A438" s="2">
        <v>45784</v>
      </c>
      <c r="B438" t="s">
        <v>444</v>
      </c>
      <c r="C438" t="s">
        <v>507</v>
      </c>
      <c r="D438" t="s">
        <v>514</v>
      </c>
      <c r="E438">
        <v>15</v>
      </c>
      <c r="F438">
        <v>1638.05</v>
      </c>
      <c r="G438">
        <v>992.6</v>
      </c>
      <c r="H438">
        <v>24570.75</v>
      </c>
      <c r="I438">
        <f t="shared" si="6"/>
        <v>9681.75</v>
      </c>
    </row>
    <row r="439" spans="1:9" x14ac:dyDescent="0.3">
      <c r="A439" s="2">
        <v>45684</v>
      </c>
      <c r="B439" t="s">
        <v>445</v>
      </c>
      <c r="C439" t="s">
        <v>510</v>
      </c>
      <c r="D439" t="s">
        <v>513</v>
      </c>
      <c r="E439">
        <v>18</v>
      </c>
      <c r="F439">
        <v>817.31</v>
      </c>
      <c r="G439">
        <v>569.17999999999995</v>
      </c>
      <c r="H439">
        <v>14711.58</v>
      </c>
      <c r="I439">
        <f t="shared" si="6"/>
        <v>4466.34</v>
      </c>
    </row>
    <row r="440" spans="1:9" x14ac:dyDescent="0.3">
      <c r="A440" s="2">
        <v>45736</v>
      </c>
      <c r="B440" t="s">
        <v>446</v>
      </c>
      <c r="C440" t="s">
        <v>508</v>
      </c>
      <c r="D440" t="s">
        <v>514</v>
      </c>
      <c r="E440">
        <v>11</v>
      </c>
      <c r="F440">
        <v>1920.15</v>
      </c>
      <c r="G440">
        <v>1229.46</v>
      </c>
      <c r="H440">
        <v>21121.65</v>
      </c>
      <c r="I440">
        <f t="shared" si="6"/>
        <v>7597.59</v>
      </c>
    </row>
    <row r="441" spans="1:9" x14ac:dyDescent="0.3">
      <c r="A441" s="2">
        <v>45562</v>
      </c>
      <c r="B441" t="s">
        <v>447</v>
      </c>
      <c r="C441" t="s">
        <v>509</v>
      </c>
      <c r="D441" t="s">
        <v>511</v>
      </c>
      <c r="E441">
        <v>17</v>
      </c>
      <c r="F441">
        <v>1467.23</v>
      </c>
      <c r="G441">
        <v>1245.5899999999999</v>
      </c>
      <c r="H441">
        <v>24942.91</v>
      </c>
      <c r="I441">
        <f t="shared" si="6"/>
        <v>3767.880000000001</v>
      </c>
    </row>
    <row r="442" spans="1:9" x14ac:dyDescent="0.3">
      <c r="A442" s="2">
        <v>45561</v>
      </c>
      <c r="B442" t="s">
        <v>448</v>
      </c>
      <c r="C442" t="s">
        <v>510</v>
      </c>
      <c r="D442" t="s">
        <v>516</v>
      </c>
      <c r="E442">
        <v>2</v>
      </c>
      <c r="F442">
        <v>196.42</v>
      </c>
      <c r="G442">
        <v>136.97</v>
      </c>
      <c r="H442">
        <v>392.84</v>
      </c>
      <c r="I442">
        <f t="shared" si="6"/>
        <v>118.89999999999998</v>
      </c>
    </row>
    <row r="443" spans="1:9" x14ac:dyDescent="0.3">
      <c r="A443" s="2">
        <v>45803</v>
      </c>
      <c r="B443" t="s">
        <v>449</v>
      </c>
      <c r="C443" t="s">
        <v>508</v>
      </c>
      <c r="D443" t="s">
        <v>515</v>
      </c>
      <c r="E443">
        <v>1</v>
      </c>
      <c r="F443">
        <v>1614.07</v>
      </c>
      <c r="G443">
        <v>1120.5</v>
      </c>
      <c r="H443">
        <v>1614.07</v>
      </c>
      <c r="I443">
        <f t="shared" si="6"/>
        <v>493.56999999999994</v>
      </c>
    </row>
    <row r="444" spans="1:9" x14ac:dyDescent="0.3">
      <c r="A444" s="2">
        <v>45678</v>
      </c>
      <c r="B444" t="s">
        <v>450</v>
      </c>
      <c r="C444" t="s">
        <v>507</v>
      </c>
      <c r="D444" t="s">
        <v>511</v>
      </c>
      <c r="E444">
        <v>14</v>
      </c>
      <c r="F444">
        <v>491.62</v>
      </c>
      <c r="G444">
        <v>352.98</v>
      </c>
      <c r="H444">
        <v>6882.68</v>
      </c>
      <c r="I444">
        <f t="shared" si="6"/>
        <v>1940.96</v>
      </c>
    </row>
    <row r="445" spans="1:9" x14ac:dyDescent="0.3">
      <c r="A445" s="2">
        <v>45850</v>
      </c>
      <c r="B445" t="s">
        <v>451</v>
      </c>
      <c r="C445" t="s">
        <v>509</v>
      </c>
      <c r="D445" t="s">
        <v>513</v>
      </c>
      <c r="E445">
        <v>4</v>
      </c>
      <c r="F445">
        <v>603.87</v>
      </c>
      <c r="G445">
        <v>476.34</v>
      </c>
      <c r="H445">
        <v>2415.48</v>
      </c>
      <c r="I445">
        <f t="shared" si="6"/>
        <v>510.12000000000012</v>
      </c>
    </row>
    <row r="446" spans="1:9" x14ac:dyDescent="0.3">
      <c r="A446" s="2">
        <v>45704</v>
      </c>
      <c r="B446" t="s">
        <v>452</v>
      </c>
      <c r="C446" t="s">
        <v>510</v>
      </c>
      <c r="D446" t="s">
        <v>515</v>
      </c>
      <c r="E446">
        <v>13</v>
      </c>
      <c r="F446">
        <v>1718.78</v>
      </c>
      <c r="G446">
        <v>1115.97</v>
      </c>
      <c r="H446">
        <v>22344.14</v>
      </c>
      <c r="I446">
        <f t="shared" si="6"/>
        <v>7836.5299999999988</v>
      </c>
    </row>
    <row r="447" spans="1:9" x14ac:dyDescent="0.3">
      <c r="A447" s="2">
        <v>45776</v>
      </c>
      <c r="B447" t="s">
        <v>453</v>
      </c>
      <c r="C447" t="s">
        <v>507</v>
      </c>
      <c r="D447" t="s">
        <v>514</v>
      </c>
      <c r="E447">
        <v>7</v>
      </c>
      <c r="F447">
        <v>870.98</v>
      </c>
      <c r="G447">
        <v>691.83</v>
      </c>
      <c r="H447">
        <v>6096.86</v>
      </c>
      <c r="I447">
        <f t="shared" si="6"/>
        <v>1254.0499999999993</v>
      </c>
    </row>
    <row r="448" spans="1:9" x14ac:dyDescent="0.3">
      <c r="A448" s="2">
        <v>45632</v>
      </c>
      <c r="B448" t="s">
        <v>454</v>
      </c>
      <c r="C448" t="s">
        <v>507</v>
      </c>
      <c r="D448" t="s">
        <v>514</v>
      </c>
      <c r="E448">
        <v>2</v>
      </c>
      <c r="F448">
        <v>1296.27</v>
      </c>
      <c r="G448">
        <v>1034</v>
      </c>
      <c r="H448">
        <v>2592.54</v>
      </c>
      <c r="I448">
        <f t="shared" si="6"/>
        <v>524.54</v>
      </c>
    </row>
    <row r="449" spans="1:9" x14ac:dyDescent="0.3">
      <c r="A449" s="2">
        <v>45826</v>
      </c>
      <c r="B449" t="s">
        <v>455</v>
      </c>
      <c r="C449" t="s">
        <v>510</v>
      </c>
      <c r="D449" t="s">
        <v>514</v>
      </c>
      <c r="E449">
        <v>13</v>
      </c>
      <c r="F449">
        <v>1606.51</v>
      </c>
      <c r="G449">
        <v>1425.41</v>
      </c>
      <c r="H449">
        <v>20884.63</v>
      </c>
      <c r="I449">
        <f t="shared" si="6"/>
        <v>2354.2999999999993</v>
      </c>
    </row>
    <row r="450" spans="1:9" x14ac:dyDescent="0.3">
      <c r="A450" s="2">
        <v>45609</v>
      </c>
      <c r="B450" t="s">
        <v>456</v>
      </c>
      <c r="C450" t="s">
        <v>510</v>
      </c>
      <c r="D450" t="s">
        <v>513</v>
      </c>
      <c r="E450">
        <v>18</v>
      </c>
      <c r="F450">
        <v>302.76</v>
      </c>
      <c r="G450">
        <v>209.72</v>
      </c>
      <c r="H450">
        <v>5449.68</v>
      </c>
      <c r="I450">
        <f t="shared" si="6"/>
        <v>1674.7200000000003</v>
      </c>
    </row>
    <row r="451" spans="1:9" x14ac:dyDescent="0.3">
      <c r="A451" s="2">
        <v>45606</v>
      </c>
      <c r="B451" t="s">
        <v>457</v>
      </c>
      <c r="C451" t="s">
        <v>507</v>
      </c>
      <c r="D451" t="s">
        <v>512</v>
      </c>
      <c r="E451">
        <v>9</v>
      </c>
      <c r="F451">
        <v>1373.77</v>
      </c>
      <c r="G451">
        <v>1231.8699999999999</v>
      </c>
      <c r="H451">
        <v>12363.93</v>
      </c>
      <c r="I451">
        <f t="shared" ref="I451:I501" si="7">H451-(G451*E451)</f>
        <v>1277.1000000000022</v>
      </c>
    </row>
    <row r="452" spans="1:9" x14ac:dyDescent="0.3">
      <c r="A452" s="2">
        <v>45896</v>
      </c>
      <c r="B452" t="s">
        <v>458</v>
      </c>
      <c r="C452" t="s">
        <v>507</v>
      </c>
      <c r="D452" t="s">
        <v>515</v>
      </c>
      <c r="E452">
        <v>4</v>
      </c>
      <c r="F452">
        <v>1945.01</v>
      </c>
      <c r="G452">
        <v>1494.17</v>
      </c>
      <c r="H452">
        <v>7780.04</v>
      </c>
      <c r="I452">
        <f t="shared" si="7"/>
        <v>1803.3599999999997</v>
      </c>
    </row>
    <row r="453" spans="1:9" x14ac:dyDescent="0.3">
      <c r="A453" s="2">
        <v>45865</v>
      </c>
      <c r="B453" t="s">
        <v>459</v>
      </c>
      <c r="C453" t="s">
        <v>510</v>
      </c>
      <c r="D453" t="s">
        <v>512</v>
      </c>
      <c r="E453">
        <v>15</v>
      </c>
      <c r="F453">
        <v>1878.32</v>
      </c>
      <c r="G453">
        <v>1351.13</v>
      </c>
      <c r="H453">
        <v>28174.799999999999</v>
      </c>
      <c r="I453">
        <f t="shared" si="7"/>
        <v>7907.8499999999985</v>
      </c>
    </row>
    <row r="454" spans="1:9" x14ac:dyDescent="0.3">
      <c r="A454" s="2">
        <v>45751</v>
      </c>
      <c r="B454" t="s">
        <v>460</v>
      </c>
      <c r="C454" t="s">
        <v>510</v>
      </c>
      <c r="D454" t="s">
        <v>512</v>
      </c>
      <c r="E454">
        <v>9</v>
      </c>
      <c r="F454">
        <v>1024.07</v>
      </c>
      <c r="G454">
        <v>857.55</v>
      </c>
      <c r="H454">
        <v>9216.6299999999992</v>
      </c>
      <c r="I454">
        <f t="shared" si="7"/>
        <v>1498.6799999999994</v>
      </c>
    </row>
    <row r="455" spans="1:9" x14ac:dyDescent="0.3">
      <c r="A455" s="2">
        <v>45763</v>
      </c>
      <c r="B455" t="s">
        <v>461</v>
      </c>
      <c r="C455" t="s">
        <v>510</v>
      </c>
      <c r="D455" t="s">
        <v>516</v>
      </c>
      <c r="E455">
        <v>1</v>
      </c>
      <c r="F455">
        <v>1693.31</v>
      </c>
      <c r="G455">
        <v>1204.75</v>
      </c>
      <c r="H455">
        <v>1693.31</v>
      </c>
      <c r="I455">
        <f t="shared" si="7"/>
        <v>488.55999999999995</v>
      </c>
    </row>
    <row r="456" spans="1:9" x14ac:dyDescent="0.3">
      <c r="A456" s="2">
        <v>45658</v>
      </c>
      <c r="B456" t="s">
        <v>462</v>
      </c>
      <c r="C456" t="s">
        <v>510</v>
      </c>
      <c r="D456" t="s">
        <v>514</v>
      </c>
      <c r="E456">
        <v>9</v>
      </c>
      <c r="F456">
        <v>1106.06</v>
      </c>
      <c r="G456">
        <v>693.71</v>
      </c>
      <c r="H456">
        <v>9954.5400000000009</v>
      </c>
      <c r="I456">
        <f t="shared" si="7"/>
        <v>3711.1500000000005</v>
      </c>
    </row>
    <row r="457" spans="1:9" x14ac:dyDescent="0.3">
      <c r="A457" s="2">
        <v>45829</v>
      </c>
      <c r="B457" t="s">
        <v>463</v>
      </c>
      <c r="C457" t="s">
        <v>509</v>
      </c>
      <c r="D457" t="s">
        <v>515</v>
      </c>
      <c r="E457">
        <v>16</v>
      </c>
      <c r="F457">
        <v>1648.65</v>
      </c>
      <c r="G457">
        <v>1220.19</v>
      </c>
      <c r="H457">
        <v>26378.400000000001</v>
      </c>
      <c r="I457">
        <f t="shared" si="7"/>
        <v>6855.3600000000006</v>
      </c>
    </row>
    <row r="458" spans="1:9" x14ac:dyDescent="0.3">
      <c r="A458" s="2">
        <v>45630</v>
      </c>
      <c r="B458" t="s">
        <v>464</v>
      </c>
      <c r="C458" t="s">
        <v>510</v>
      </c>
      <c r="D458" t="s">
        <v>511</v>
      </c>
      <c r="E458">
        <v>4</v>
      </c>
      <c r="F458">
        <v>1145.95</v>
      </c>
      <c r="G458">
        <v>797.33</v>
      </c>
      <c r="H458">
        <v>4583.8</v>
      </c>
      <c r="I458">
        <f t="shared" si="7"/>
        <v>1394.48</v>
      </c>
    </row>
    <row r="459" spans="1:9" x14ac:dyDescent="0.3">
      <c r="A459" s="2">
        <v>45580</v>
      </c>
      <c r="B459" t="s">
        <v>465</v>
      </c>
      <c r="C459" t="s">
        <v>510</v>
      </c>
      <c r="D459" t="s">
        <v>516</v>
      </c>
      <c r="E459">
        <v>17</v>
      </c>
      <c r="F459">
        <v>1658.19</v>
      </c>
      <c r="G459">
        <v>1173.55</v>
      </c>
      <c r="H459">
        <v>28189.23</v>
      </c>
      <c r="I459">
        <f t="shared" si="7"/>
        <v>8238.880000000001</v>
      </c>
    </row>
    <row r="460" spans="1:9" x14ac:dyDescent="0.3">
      <c r="A460" s="2">
        <v>45848</v>
      </c>
      <c r="B460" t="s">
        <v>466</v>
      </c>
      <c r="C460" t="s">
        <v>509</v>
      </c>
      <c r="D460" t="s">
        <v>515</v>
      </c>
      <c r="E460">
        <v>5</v>
      </c>
      <c r="F460">
        <v>593.80999999999995</v>
      </c>
      <c r="G460">
        <v>364</v>
      </c>
      <c r="H460">
        <v>2969.05</v>
      </c>
      <c r="I460">
        <f t="shared" si="7"/>
        <v>1149.0500000000002</v>
      </c>
    </row>
    <row r="461" spans="1:9" x14ac:dyDescent="0.3">
      <c r="A461" s="2">
        <v>45813</v>
      </c>
      <c r="B461" t="s">
        <v>467</v>
      </c>
      <c r="C461" t="s">
        <v>510</v>
      </c>
      <c r="D461" t="s">
        <v>512</v>
      </c>
      <c r="E461">
        <v>16</v>
      </c>
      <c r="F461">
        <v>1437.31</v>
      </c>
      <c r="G461">
        <v>1002.12</v>
      </c>
      <c r="H461">
        <v>22996.959999999999</v>
      </c>
      <c r="I461">
        <f t="shared" si="7"/>
        <v>6963.0399999999991</v>
      </c>
    </row>
    <row r="462" spans="1:9" x14ac:dyDescent="0.3">
      <c r="A462" s="2">
        <v>45574</v>
      </c>
      <c r="B462" t="s">
        <v>468</v>
      </c>
      <c r="C462" t="s">
        <v>509</v>
      </c>
      <c r="D462" t="s">
        <v>515</v>
      </c>
      <c r="E462">
        <v>7</v>
      </c>
      <c r="F462">
        <v>1787.31</v>
      </c>
      <c r="G462">
        <v>1543.01</v>
      </c>
      <c r="H462">
        <v>12511.17</v>
      </c>
      <c r="I462">
        <f t="shared" si="7"/>
        <v>1710.1000000000004</v>
      </c>
    </row>
    <row r="463" spans="1:9" x14ac:dyDescent="0.3">
      <c r="A463" s="2">
        <v>45769</v>
      </c>
      <c r="B463" t="s">
        <v>469</v>
      </c>
      <c r="C463" t="s">
        <v>507</v>
      </c>
      <c r="D463" t="s">
        <v>516</v>
      </c>
      <c r="E463">
        <v>13</v>
      </c>
      <c r="F463">
        <v>1166.9000000000001</v>
      </c>
      <c r="G463">
        <v>923.42</v>
      </c>
      <c r="H463">
        <v>15169.7</v>
      </c>
      <c r="I463">
        <f t="shared" si="7"/>
        <v>3165.2400000000016</v>
      </c>
    </row>
    <row r="464" spans="1:9" x14ac:dyDescent="0.3">
      <c r="A464" s="2">
        <v>45695</v>
      </c>
      <c r="B464" t="s">
        <v>470</v>
      </c>
      <c r="C464" t="s">
        <v>507</v>
      </c>
      <c r="D464" t="s">
        <v>514</v>
      </c>
      <c r="E464">
        <v>4</v>
      </c>
      <c r="F464">
        <v>437.51</v>
      </c>
      <c r="G464">
        <v>300.5</v>
      </c>
      <c r="H464">
        <v>1750.04</v>
      </c>
      <c r="I464">
        <f t="shared" si="7"/>
        <v>548.04</v>
      </c>
    </row>
    <row r="465" spans="1:9" x14ac:dyDescent="0.3">
      <c r="A465" s="2">
        <v>45709</v>
      </c>
      <c r="B465" t="s">
        <v>471</v>
      </c>
      <c r="C465" t="s">
        <v>509</v>
      </c>
      <c r="D465" t="s">
        <v>513</v>
      </c>
      <c r="E465">
        <v>11</v>
      </c>
      <c r="F465">
        <v>587.23</v>
      </c>
      <c r="G465">
        <v>361.56</v>
      </c>
      <c r="H465">
        <v>6459.53</v>
      </c>
      <c r="I465">
        <f t="shared" si="7"/>
        <v>2482.37</v>
      </c>
    </row>
    <row r="466" spans="1:9" x14ac:dyDescent="0.3">
      <c r="A466" s="2">
        <v>45826</v>
      </c>
      <c r="B466" t="s">
        <v>472</v>
      </c>
      <c r="C466" t="s">
        <v>510</v>
      </c>
      <c r="D466" t="s">
        <v>515</v>
      </c>
      <c r="E466">
        <v>11</v>
      </c>
      <c r="F466">
        <v>1463.16</v>
      </c>
      <c r="G466">
        <v>1030.98</v>
      </c>
      <c r="H466">
        <v>16094.76</v>
      </c>
      <c r="I466">
        <f t="shared" si="7"/>
        <v>4753.9799999999996</v>
      </c>
    </row>
    <row r="467" spans="1:9" x14ac:dyDescent="0.3">
      <c r="A467" s="2">
        <v>45660</v>
      </c>
      <c r="B467" t="s">
        <v>473</v>
      </c>
      <c r="C467" t="s">
        <v>510</v>
      </c>
      <c r="D467" t="s">
        <v>513</v>
      </c>
      <c r="E467">
        <v>1</v>
      </c>
      <c r="F467">
        <v>1340.33</v>
      </c>
      <c r="G467">
        <v>841.74</v>
      </c>
      <c r="H467">
        <v>1340.33</v>
      </c>
      <c r="I467">
        <f t="shared" si="7"/>
        <v>498.58999999999992</v>
      </c>
    </row>
    <row r="468" spans="1:9" x14ac:dyDescent="0.3">
      <c r="A468" s="2">
        <v>45757</v>
      </c>
      <c r="B468" t="s">
        <v>474</v>
      </c>
      <c r="C468" t="s">
        <v>508</v>
      </c>
      <c r="D468" t="s">
        <v>512</v>
      </c>
      <c r="E468">
        <v>16</v>
      </c>
      <c r="F468">
        <v>708.84</v>
      </c>
      <c r="G468">
        <v>432.78</v>
      </c>
      <c r="H468">
        <v>11341.44</v>
      </c>
      <c r="I468">
        <f t="shared" si="7"/>
        <v>4416.9600000000009</v>
      </c>
    </row>
    <row r="469" spans="1:9" x14ac:dyDescent="0.3">
      <c r="A469" s="2">
        <v>45777</v>
      </c>
      <c r="B469" t="s">
        <v>475</v>
      </c>
      <c r="C469" t="s">
        <v>508</v>
      </c>
      <c r="D469" t="s">
        <v>511</v>
      </c>
      <c r="E469">
        <v>12</v>
      </c>
      <c r="F469">
        <v>645.95000000000005</v>
      </c>
      <c r="G469">
        <v>411.79</v>
      </c>
      <c r="H469">
        <v>7751.4</v>
      </c>
      <c r="I469">
        <f t="shared" si="7"/>
        <v>2809.9199999999992</v>
      </c>
    </row>
    <row r="470" spans="1:9" x14ac:dyDescent="0.3">
      <c r="A470" s="2">
        <v>45885</v>
      </c>
      <c r="B470" t="s">
        <v>476</v>
      </c>
      <c r="C470" t="s">
        <v>508</v>
      </c>
      <c r="D470" t="s">
        <v>516</v>
      </c>
      <c r="E470">
        <v>5</v>
      </c>
      <c r="F470">
        <v>225.1</v>
      </c>
      <c r="G470">
        <v>181.1</v>
      </c>
      <c r="H470">
        <v>1125.5</v>
      </c>
      <c r="I470">
        <f t="shared" si="7"/>
        <v>220</v>
      </c>
    </row>
    <row r="471" spans="1:9" x14ac:dyDescent="0.3">
      <c r="A471" s="2">
        <v>45855</v>
      </c>
      <c r="B471" t="s">
        <v>477</v>
      </c>
      <c r="C471" t="s">
        <v>507</v>
      </c>
      <c r="D471" t="s">
        <v>514</v>
      </c>
      <c r="E471">
        <v>20</v>
      </c>
      <c r="F471">
        <v>1573.3</v>
      </c>
      <c r="G471">
        <v>1122.26</v>
      </c>
      <c r="H471">
        <v>31466</v>
      </c>
      <c r="I471">
        <f t="shared" si="7"/>
        <v>9020.7999999999993</v>
      </c>
    </row>
    <row r="472" spans="1:9" x14ac:dyDescent="0.3">
      <c r="A472" s="2">
        <v>45834</v>
      </c>
      <c r="B472" t="s">
        <v>478</v>
      </c>
      <c r="C472" t="s">
        <v>507</v>
      </c>
      <c r="D472" t="s">
        <v>514</v>
      </c>
      <c r="E472">
        <v>2</v>
      </c>
      <c r="F472">
        <v>1092.1600000000001</v>
      </c>
      <c r="G472">
        <v>793.9</v>
      </c>
      <c r="H472">
        <v>2184.3200000000002</v>
      </c>
      <c r="I472">
        <f t="shared" si="7"/>
        <v>596.52000000000021</v>
      </c>
    </row>
    <row r="473" spans="1:9" x14ac:dyDescent="0.3">
      <c r="A473" s="2">
        <v>45594</v>
      </c>
      <c r="B473" t="s">
        <v>479</v>
      </c>
      <c r="C473" t="s">
        <v>508</v>
      </c>
      <c r="D473" t="s">
        <v>515</v>
      </c>
      <c r="E473">
        <v>5</v>
      </c>
      <c r="F473">
        <v>556.02</v>
      </c>
      <c r="G473">
        <v>355.74</v>
      </c>
      <c r="H473">
        <v>2780.1</v>
      </c>
      <c r="I473">
        <f t="shared" si="7"/>
        <v>1001.3999999999999</v>
      </c>
    </row>
    <row r="474" spans="1:9" x14ac:dyDescent="0.3">
      <c r="A474" s="2">
        <v>45684</v>
      </c>
      <c r="B474" t="s">
        <v>480</v>
      </c>
      <c r="C474" t="s">
        <v>508</v>
      </c>
      <c r="D474" t="s">
        <v>513</v>
      </c>
      <c r="E474">
        <v>7</v>
      </c>
      <c r="F474">
        <v>485.73</v>
      </c>
      <c r="G474">
        <v>348.05</v>
      </c>
      <c r="H474">
        <v>3400.11</v>
      </c>
      <c r="I474">
        <f t="shared" si="7"/>
        <v>963.76000000000022</v>
      </c>
    </row>
    <row r="475" spans="1:9" x14ac:dyDescent="0.3">
      <c r="A475" s="2">
        <v>45565</v>
      </c>
      <c r="B475" t="s">
        <v>481</v>
      </c>
      <c r="C475" t="s">
        <v>509</v>
      </c>
      <c r="D475" t="s">
        <v>511</v>
      </c>
      <c r="E475">
        <v>15</v>
      </c>
      <c r="F475">
        <v>639.59</v>
      </c>
      <c r="G475">
        <v>388.97</v>
      </c>
      <c r="H475">
        <v>9593.85</v>
      </c>
      <c r="I475">
        <f t="shared" si="7"/>
        <v>3759.3</v>
      </c>
    </row>
    <row r="476" spans="1:9" x14ac:dyDescent="0.3">
      <c r="A476" s="2">
        <v>45867</v>
      </c>
      <c r="B476" t="s">
        <v>482</v>
      </c>
      <c r="C476" t="s">
        <v>509</v>
      </c>
      <c r="D476" t="s">
        <v>512</v>
      </c>
      <c r="E476">
        <v>6</v>
      </c>
      <c r="F476">
        <v>322.14999999999998</v>
      </c>
      <c r="G476">
        <v>210.8</v>
      </c>
      <c r="H476">
        <v>1932.9</v>
      </c>
      <c r="I476">
        <f t="shared" si="7"/>
        <v>668.09999999999991</v>
      </c>
    </row>
    <row r="477" spans="1:9" x14ac:dyDescent="0.3">
      <c r="A477" s="2">
        <v>45772</v>
      </c>
      <c r="B477" t="s">
        <v>483</v>
      </c>
      <c r="C477" t="s">
        <v>507</v>
      </c>
      <c r="D477" t="s">
        <v>514</v>
      </c>
      <c r="E477">
        <v>20</v>
      </c>
      <c r="F477">
        <v>283.94</v>
      </c>
      <c r="G477">
        <v>237.69</v>
      </c>
      <c r="H477">
        <v>5678.8</v>
      </c>
      <c r="I477">
        <f t="shared" si="7"/>
        <v>925</v>
      </c>
    </row>
    <row r="478" spans="1:9" x14ac:dyDescent="0.3">
      <c r="A478" s="2">
        <v>45858</v>
      </c>
      <c r="B478" t="s">
        <v>484</v>
      </c>
      <c r="C478" t="s">
        <v>509</v>
      </c>
      <c r="D478" t="s">
        <v>511</v>
      </c>
      <c r="E478">
        <v>4</v>
      </c>
      <c r="F478">
        <v>771.27</v>
      </c>
      <c r="G478">
        <v>688.19</v>
      </c>
      <c r="H478">
        <v>3085.08</v>
      </c>
      <c r="I478">
        <f t="shared" si="7"/>
        <v>332.31999999999971</v>
      </c>
    </row>
    <row r="479" spans="1:9" x14ac:dyDescent="0.3">
      <c r="A479" s="2">
        <v>45599</v>
      </c>
      <c r="B479" t="s">
        <v>485</v>
      </c>
      <c r="C479" t="s">
        <v>509</v>
      </c>
      <c r="D479" t="s">
        <v>514</v>
      </c>
      <c r="E479">
        <v>16</v>
      </c>
      <c r="F479">
        <v>1053.5999999999999</v>
      </c>
      <c r="G479">
        <v>775.82</v>
      </c>
      <c r="H479">
        <v>16857.599999999999</v>
      </c>
      <c r="I479">
        <f t="shared" si="7"/>
        <v>4444.4799999999977</v>
      </c>
    </row>
    <row r="480" spans="1:9" x14ac:dyDescent="0.3">
      <c r="A480" s="2">
        <v>45810</v>
      </c>
      <c r="B480" t="s">
        <v>486</v>
      </c>
      <c r="C480" t="s">
        <v>509</v>
      </c>
      <c r="D480" t="s">
        <v>511</v>
      </c>
      <c r="E480">
        <v>18</v>
      </c>
      <c r="F480">
        <v>63.48</v>
      </c>
      <c r="G480">
        <v>48.9</v>
      </c>
      <c r="H480">
        <v>1142.6400000000001</v>
      </c>
      <c r="I480">
        <f t="shared" si="7"/>
        <v>262.44000000000017</v>
      </c>
    </row>
    <row r="481" spans="1:9" x14ac:dyDescent="0.3">
      <c r="A481" s="2">
        <v>45595</v>
      </c>
      <c r="B481" t="s">
        <v>487</v>
      </c>
      <c r="C481" t="s">
        <v>507</v>
      </c>
      <c r="D481" t="s">
        <v>516</v>
      </c>
      <c r="E481">
        <v>2</v>
      </c>
      <c r="F481">
        <v>982.76</v>
      </c>
      <c r="G481">
        <v>749.04</v>
      </c>
      <c r="H481">
        <v>1965.52</v>
      </c>
      <c r="I481">
        <f t="shared" si="7"/>
        <v>467.44000000000005</v>
      </c>
    </row>
    <row r="482" spans="1:9" x14ac:dyDescent="0.3">
      <c r="A482" s="2">
        <v>45580</v>
      </c>
      <c r="B482" t="s">
        <v>488</v>
      </c>
      <c r="C482" t="s">
        <v>510</v>
      </c>
      <c r="D482" t="s">
        <v>516</v>
      </c>
      <c r="E482">
        <v>9</v>
      </c>
      <c r="F482">
        <v>1266.53</v>
      </c>
      <c r="G482">
        <v>951.47</v>
      </c>
      <c r="H482">
        <v>11398.77</v>
      </c>
      <c r="I482">
        <f t="shared" si="7"/>
        <v>2835.5400000000009</v>
      </c>
    </row>
    <row r="483" spans="1:9" x14ac:dyDescent="0.3">
      <c r="A483" s="2">
        <v>45579</v>
      </c>
      <c r="B483" t="s">
        <v>489</v>
      </c>
      <c r="C483" t="s">
        <v>508</v>
      </c>
      <c r="D483" t="s">
        <v>511</v>
      </c>
      <c r="E483">
        <v>6</v>
      </c>
      <c r="F483">
        <v>409.94</v>
      </c>
      <c r="G483">
        <v>280.70999999999998</v>
      </c>
      <c r="H483">
        <v>2459.64</v>
      </c>
      <c r="I483">
        <f t="shared" si="7"/>
        <v>775.38000000000011</v>
      </c>
    </row>
    <row r="484" spans="1:9" x14ac:dyDescent="0.3">
      <c r="A484" s="2">
        <v>45787</v>
      </c>
      <c r="B484" t="s">
        <v>490</v>
      </c>
      <c r="C484" t="s">
        <v>508</v>
      </c>
      <c r="D484" t="s">
        <v>512</v>
      </c>
      <c r="E484">
        <v>20</v>
      </c>
      <c r="F484">
        <v>1162.82</v>
      </c>
      <c r="G484">
        <v>1025.99</v>
      </c>
      <c r="H484">
        <v>23256.400000000001</v>
      </c>
      <c r="I484">
        <f t="shared" si="7"/>
        <v>2736.6000000000022</v>
      </c>
    </row>
    <row r="485" spans="1:9" x14ac:dyDescent="0.3">
      <c r="A485" s="2">
        <v>45838</v>
      </c>
      <c r="B485" t="s">
        <v>491</v>
      </c>
      <c r="C485" t="s">
        <v>509</v>
      </c>
      <c r="D485" t="s">
        <v>512</v>
      </c>
      <c r="E485">
        <v>2</v>
      </c>
      <c r="F485">
        <v>1172.3</v>
      </c>
      <c r="G485">
        <v>814.72</v>
      </c>
      <c r="H485">
        <v>2344.6</v>
      </c>
      <c r="I485">
        <f t="shared" si="7"/>
        <v>715.15999999999985</v>
      </c>
    </row>
    <row r="486" spans="1:9" x14ac:dyDescent="0.3">
      <c r="A486" s="2">
        <v>45759</v>
      </c>
      <c r="B486" t="s">
        <v>372</v>
      </c>
      <c r="C486" t="s">
        <v>508</v>
      </c>
      <c r="D486" t="s">
        <v>512</v>
      </c>
      <c r="E486">
        <v>4</v>
      </c>
      <c r="F486">
        <v>1489.02</v>
      </c>
      <c r="G486">
        <v>1054.55</v>
      </c>
      <c r="H486">
        <v>5956.08</v>
      </c>
      <c r="I486">
        <f t="shared" si="7"/>
        <v>1737.88</v>
      </c>
    </row>
    <row r="487" spans="1:9" x14ac:dyDescent="0.3">
      <c r="A487" s="2">
        <v>45745</v>
      </c>
      <c r="B487" t="s">
        <v>492</v>
      </c>
      <c r="C487" t="s">
        <v>509</v>
      </c>
      <c r="D487" t="s">
        <v>512</v>
      </c>
      <c r="E487">
        <v>4</v>
      </c>
      <c r="F487">
        <v>1785.25</v>
      </c>
      <c r="G487">
        <v>1286.69</v>
      </c>
      <c r="H487">
        <v>7141</v>
      </c>
      <c r="I487">
        <f t="shared" si="7"/>
        <v>1994.2399999999998</v>
      </c>
    </row>
    <row r="488" spans="1:9" x14ac:dyDescent="0.3">
      <c r="A488" s="2">
        <v>45848</v>
      </c>
      <c r="B488" t="s">
        <v>493</v>
      </c>
      <c r="C488" t="s">
        <v>510</v>
      </c>
      <c r="D488" t="s">
        <v>511</v>
      </c>
      <c r="E488">
        <v>5</v>
      </c>
      <c r="F488">
        <v>499.58</v>
      </c>
      <c r="G488">
        <v>327.98</v>
      </c>
      <c r="H488">
        <v>2497.9</v>
      </c>
      <c r="I488">
        <f t="shared" si="7"/>
        <v>858</v>
      </c>
    </row>
    <row r="489" spans="1:9" x14ac:dyDescent="0.3">
      <c r="A489" s="2">
        <v>45830</v>
      </c>
      <c r="B489" t="s">
        <v>494</v>
      </c>
      <c r="C489" t="s">
        <v>509</v>
      </c>
      <c r="D489" t="s">
        <v>515</v>
      </c>
      <c r="E489">
        <v>5</v>
      </c>
      <c r="F489">
        <v>1824.4</v>
      </c>
      <c r="G489">
        <v>1447.99</v>
      </c>
      <c r="H489">
        <v>9122</v>
      </c>
      <c r="I489">
        <f t="shared" si="7"/>
        <v>1882.0500000000002</v>
      </c>
    </row>
    <row r="490" spans="1:9" x14ac:dyDescent="0.3">
      <c r="A490" s="2">
        <v>45679</v>
      </c>
      <c r="B490" t="s">
        <v>495</v>
      </c>
      <c r="C490" t="s">
        <v>509</v>
      </c>
      <c r="D490" t="s">
        <v>514</v>
      </c>
      <c r="E490">
        <v>10</v>
      </c>
      <c r="F490">
        <v>1741.32</v>
      </c>
      <c r="G490">
        <v>1398.22</v>
      </c>
      <c r="H490">
        <v>17413.2</v>
      </c>
      <c r="I490">
        <f t="shared" si="7"/>
        <v>3431</v>
      </c>
    </row>
    <row r="491" spans="1:9" x14ac:dyDescent="0.3">
      <c r="A491" s="2">
        <v>45707</v>
      </c>
      <c r="B491" t="s">
        <v>496</v>
      </c>
      <c r="C491" t="s">
        <v>508</v>
      </c>
      <c r="D491" t="s">
        <v>512</v>
      </c>
      <c r="E491">
        <v>19</v>
      </c>
      <c r="F491">
        <v>744.58</v>
      </c>
      <c r="G491">
        <v>593.99</v>
      </c>
      <c r="H491">
        <v>14147.02</v>
      </c>
      <c r="I491">
        <f t="shared" si="7"/>
        <v>2861.2100000000009</v>
      </c>
    </row>
    <row r="492" spans="1:9" x14ac:dyDescent="0.3">
      <c r="A492" s="2">
        <v>45666</v>
      </c>
      <c r="B492" t="s">
        <v>497</v>
      </c>
      <c r="C492" t="s">
        <v>507</v>
      </c>
      <c r="D492" t="s">
        <v>516</v>
      </c>
      <c r="E492">
        <v>8</v>
      </c>
      <c r="F492">
        <v>780.04</v>
      </c>
      <c r="G492">
        <v>570.15</v>
      </c>
      <c r="H492">
        <v>6240.32</v>
      </c>
      <c r="I492">
        <f t="shared" si="7"/>
        <v>1679.12</v>
      </c>
    </row>
    <row r="493" spans="1:9" x14ac:dyDescent="0.3">
      <c r="A493" s="2">
        <v>45582</v>
      </c>
      <c r="B493" t="s">
        <v>498</v>
      </c>
      <c r="C493" t="s">
        <v>507</v>
      </c>
      <c r="D493" t="s">
        <v>514</v>
      </c>
      <c r="E493">
        <v>2</v>
      </c>
      <c r="F493">
        <v>1360.2</v>
      </c>
      <c r="G493">
        <v>853.61</v>
      </c>
      <c r="H493">
        <v>2720.4</v>
      </c>
      <c r="I493">
        <f t="shared" si="7"/>
        <v>1013.1800000000001</v>
      </c>
    </row>
    <row r="494" spans="1:9" x14ac:dyDescent="0.3">
      <c r="A494" s="2">
        <v>45854</v>
      </c>
      <c r="B494" t="s">
        <v>499</v>
      </c>
      <c r="C494" t="s">
        <v>508</v>
      </c>
      <c r="D494" t="s">
        <v>515</v>
      </c>
      <c r="E494">
        <v>9</v>
      </c>
      <c r="F494">
        <v>150.38999999999999</v>
      </c>
      <c r="G494">
        <v>126.12</v>
      </c>
      <c r="H494">
        <v>1353.51</v>
      </c>
      <c r="I494">
        <f t="shared" si="7"/>
        <v>218.43000000000006</v>
      </c>
    </row>
    <row r="495" spans="1:9" x14ac:dyDescent="0.3">
      <c r="A495" s="2">
        <v>45794</v>
      </c>
      <c r="B495" t="s">
        <v>500</v>
      </c>
      <c r="C495" t="s">
        <v>509</v>
      </c>
      <c r="D495" t="s">
        <v>514</v>
      </c>
      <c r="E495">
        <v>2</v>
      </c>
      <c r="F495">
        <v>656.57</v>
      </c>
      <c r="G495">
        <v>513.71</v>
      </c>
      <c r="H495">
        <v>1313.14</v>
      </c>
      <c r="I495">
        <f t="shared" si="7"/>
        <v>285.72000000000003</v>
      </c>
    </row>
    <row r="496" spans="1:9" x14ac:dyDescent="0.3">
      <c r="A496" s="2">
        <v>45771</v>
      </c>
      <c r="B496" t="s">
        <v>501</v>
      </c>
      <c r="C496" t="s">
        <v>508</v>
      </c>
      <c r="D496" t="s">
        <v>511</v>
      </c>
      <c r="E496">
        <v>7</v>
      </c>
      <c r="F496">
        <v>198.34</v>
      </c>
      <c r="G496">
        <v>127.82</v>
      </c>
      <c r="H496">
        <v>1388.38</v>
      </c>
      <c r="I496">
        <f t="shared" si="7"/>
        <v>493.6400000000001</v>
      </c>
    </row>
    <row r="497" spans="1:9" x14ac:dyDescent="0.3">
      <c r="A497" s="2">
        <v>45694</v>
      </c>
      <c r="B497" t="s">
        <v>502</v>
      </c>
      <c r="C497" t="s">
        <v>508</v>
      </c>
      <c r="D497" t="s">
        <v>515</v>
      </c>
      <c r="E497">
        <v>11</v>
      </c>
      <c r="F497">
        <v>440.52</v>
      </c>
      <c r="G497">
        <v>300.42</v>
      </c>
      <c r="H497">
        <v>4845.72</v>
      </c>
      <c r="I497">
        <f t="shared" si="7"/>
        <v>1541.1</v>
      </c>
    </row>
    <row r="498" spans="1:9" x14ac:dyDescent="0.3">
      <c r="A498" s="2">
        <v>45859</v>
      </c>
      <c r="B498" t="s">
        <v>503</v>
      </c>
      <c r="C498" t="s">
        <v>509</v>
      </c>
      <c r="D498" t="s">
        <v>511</v>
      </c>
      <c r="E498">
        <v>6</v>
      </c>
      <c r="F498">
        <v>1523.36</v>
      </c>
      <c r="G498">
        <v>1343.79</v>
      </c>
      <c r="H498">
        <v>9140.16</v>
      </c>
      <c r="I498">
        <f t="shared" si="7"/>
        <v>1077.42</v>
      </c>
    </row>
    <row r="499" spans="1:9" x14ac:dyDescent="0.3">
      <c r="A499" s="2">
        <v>45627</v>
      </c>
      <c r="B499" t="s">
        <v>504</v>
      </c>
      <c r="C499" t="s">
        <v>510</v>
      </c>
      <c r="D499" t="s">
        <v>516</v>
      </c>
      <c r="E499">
        <v>1</v>
      </c>
      <c r="F499">
        <v>140.68</v>
      </c>
      <c r="G499">
        <v>115.32</v>
      </c>
      <c r="H499">
        <v>140.68</v>
      </c>
      <c r="I499">
        <f t="shared" si="7"/>
        <v>25.360000000000014</v>
      </c>
    </row>
    <row r="500" spans="1:9" x14ac:dyDescent="0.3">
      <c r="A500" s="2">
        <v>45891</v>
      </c>
      <c r="B500" t="s">
        <v>505</v>
      </c>
      <c r="C500" t="s">
        <v>507</v>
      </c>
      <c r="D500" t="s">
        <v>511</v>
      </c>
      <c r="E500">
        <v>10</v>
      </c>
      <c r="F500">
        <v>1821.96</v>
      </c>
      <c r="G500">
        <v>1208.94</v>
      </c>
      <c r="H500">
        <v>18219.599999999999</v>
      </c>
      <c r="I500">
        <f t="shared" si="7"/>
        <v>6130.1999999999971</v>
      </c>
    </row>
    <row r="501" spans="1:9" x14ac:dyDescent="0.3">
      <c r="A501" s="2">
        <v>45743</v>
      </c>
      <c r="B501" t="s">
        <v>506</v>
      </c>
      <c r="C501" t="s">
        <v>507</v>
      </c>
      <c r="D501" t="s">
        <v>514</v>
      </c>
      <c r="E501">
        <v>1</v>
      </c>
      <c r="F501">
        <v>1293.96</v>
      </c>
      <c r="G501">
        <v>942.61</v>
      </c>
      <c r="H501">
        <v>1293.96</v>
      </c>
      <c r="I501">
        <f t="shared" si="7"/>
        <v>351.35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9F83A-DCD6-4513-A861-E9B486A69E18}">
  <dimension ref="A3:K28"/>
  <sheetViews>
    <sheetView topLeftCell="A18" workbookViewId="0">
      <selection activeCell="X21" sqref="X21"/>
    </sheetView>
  </sheetViews>
  <sheetFormatPr defaultRowHeight="14.4" x14ac:dyDescent="0.3"/>
  <cols>
    <col min="1" max="1" width="12.5546875" bestFit="1" customWidth="1"/>
    <col min="2" max="2" width="16.21875" bestFit="1" customWidth="1"/>
    <col min="3" max="3" width="12.109375" bestFit="1" customWidth="1"/>
    <col min="4" max="5" width="12.5546875" bestFit="1" customWidth="1"/>
    <col min="6" max="6" width="16.21875" bestFit="1" customWidth="1"/>
    <col min="9" max="9" width="12.5546875" bestFit="1" customWidth="1"/>
    <col min="10" max="10" width="16.21875" bestFit="1" customWidth="1"/>
    <col min="11" max="11" width="12.109375" bestFit="1" customWidth="1"/>
  </cols>
  <sheetData>
    <row r="3" spans="1:11" x14ac:dyDescent="0.3">
      <c r="A3" s="7" t="s">
        <v>522</v>
      </c>
      <c r="B3" s="8" t="s">
        <v>523</v>
      </c>
      <c r="E3" s="7" t="s">
        <v>522</v>
      </c>
      <c r="F3" s="8" t="s">
        <v>523</v>
      </c>
      <c r="I3" s="7" t="s">
        <v>522</v>
      </c>
      <c r="J3" s="8" t="s">
        <v>523</v>
      </c>
      <c r="K3" s="8" t="s">
        <v>524</v>
      </c>
    </row>
    <row r="4" spans="1:11" x14ac:dyDescent="0.3">
      <c r="A4" s="9" t="s">
        <v>509</v>
      </c>
      <c r="B4" s="10">
        <v>1245175.9299999995</v>
      </c>
      <c r="E4" s="9" t="s">
        <v>514</v>
      </c>
      <c r="F4" s="8">
        <v>989689.03</v>
      </c>
      <c r="I4" s="9">
        <v>1</v>
      </c>
      <c r="J4" s="8">
        <v>25383.329999999994</v>
      </c>
      <c r="K4" s="8">
        <v>6935.9899999999971</v>
      </c>
    </row>
    <row r="5" spans="1:11" x14ac:dyDescent="0.3">
      <c r="A5" s="9" t="s">
        <v>510</v>
      </c>
      <c r="B5" s="10">
        <v>1390175.7599999998</v>
      </c>
      <c r="E5" s="9" t="s">
        <v>513</v>
      </c>
      <c r="F5" s="8">
        <v>743226.61999999988</v>
      </c>
      <c r="I5" s="9">
        <v>2</v>
      </c>
      <c r="J5" s="8">
        <v>68196.099999999991</v>
      </c>
      <c r="K5" s="8">
        <v>16953.680000000004</v>
      </c>
    </row>
    <row r="6" spans="1:11" x14ac:dyDescent="0.3">
      <c r="A6" s="9" t="s">
        <v>507</v>
      </c>
      <c r="B6" s="10">
        <v>1373241.4100000006</v>
      </c>
      <c r="E6" s="9" t="s">
        <v>511</v>
      </c>
      <c r="F6" s="8">
        <v>891605.70000000019</v>
      </c>
      <c r="I6" s="9">
        <v>3</v>
      </c>
      <c r="J6" s="8">
        <v>57482.790000000008</v>
      </c>
      <c r="K6" s="8">
        <v>13320.450000000003</v>
      </c>
    </row>
    <row r="7" spans="1:11" x14ac:dyDescent="0.3">
      <c r="A7" s="9" t="s">
        <v>508</v>
      </c>
      <c r="B7" s="10">
        <v>1368237.0099999998</v>
      </c>
      <c r="E7" s="9" t="s">
        <v>512</v>
      </c>
      <c r="F7" s="8">
        <v>912974.76000000013</v>
      </c>
      <c r="I7" s="9">
        <v>4</v>
      </c>
      <c r="J7" s="8">
        <v>100760.19999999998</v>
      </c>
      <c r="K7" s="8">
        <v>24757.239999999998</v>
      </c>
    </row>
    <row r="8" spans="1:11" x14ac:dyDescent="0.3">
      <c r="A8" s="9" t="s">
        <v>518</v>
      </c>
      <c r="B8" s="10">
        <v>5376830.1099999994</v>
      </c>
      <c r="E8" s="9" t="s">
        <v>516</v>
      </c>
      <c r="F8" s="8">
        <v>838600.38999999966</v>
      </c>
      <c r="I8" s="9">
        <v>5</v>
      </c>
      <c r="J8" s="8">
        <v>122123.70000000001</v>
      </c>
      <c r="K8" s="8">
        <v>28982.1</v>
      </c>
    </row>
    <row r="9" spans="1:11" x14ac:dyDescent="0.3">
      <c r="E9" s="9" t="s">
        <v>515</v>
      </c>
      <c r="F9" s="8">
        <v>1000733.6100000003</v>
      </c>
      <c r="I9" s="9">
        <v>6</v>
      </c>
      <c r="J9" s="8">
        <v>138278.69999999998</v>
      </c>
      <c r="K9" s="8">
        <v>33176.46</v>
      </c>
    </row>
    <row r="10" spans="1:11" x14ac:dyDescent="0.3">
      <c r="E10" s="9" t="s">
        <v>518</v>
      </c>
      <c r="F10" s="8">
        <v>5376830.1100000003</v>
      </c>
      <c r="I10" s="9">
        <v>7</v>
      </c>
      <c r="J10" s="8">
        <v>146499.07999999999</v>
      </c>
      <c r="K10" s="8">
        <v>34461.000000000007</v>
      </c>
    </row>
    <row r="11" spans="1:11" x14ac:dyDescent="0.3">
      <c r="I11" s="9">
        <v>8</v>
      </c>
      <c r="J11" s="8">
        <v>183723.43999999997</v>
      </c>
      <c r="K11" s="8">
        <v>42130.959999999992</v>
      </c>
    </row>
    <row r="12" spans="1:11" x14ac:dyDescent="0.3">
      <c r="I12" s="9">
        <v>9</v>
      </c>
      <c r="J12" s="8">
        <v>224698.59</v>
      </c>
      <c r="K12" s="8">
        <v>54217.260000000009</v>
      </c>
    </row>
    <row r="13" spans="1:11" x14ac:dyDescent="0.3">
      <c r="A13" s="7" t="s">
        <v>522</v>
      </c>
      <c r="B13" s="8" t="s">
        <v>524</v>
      </c>
      <c r="I13" s="9">
        <v>10</v>
      </c>
      <c r="J13" s="8">
        <v>258817.19999999998</v>
      </c>
      <c r="K13" s="8">
        <v>64790.099999999991</v>
      </c>
    </row>
    <row r="14" spans="1:11" x14ac:dyDescent="0.3">
      <c r="A14" s="9" t="s">
        <v>514</v>
      </c>
      <c r="B14" s="10">
        <v>229239.78</v>
      </c>
      <c r="I14" s="9">
        <v>11</v>
      </c>
      <c r="J14" s="8">
        <v>361007.02</v>
      </c>
      <c r="K14" s="8">
        <v>96866.439999999973</v>
      </c>
    </row>
    <row r="15" spans="1:11" x14ac:dyDescent="0.3">
      <c r="A15" s="9" t="s">
        <v>513</v>
      </c>
      <c r="B15" s="10">
        <v>188630.15999999995</v>
      </c>
      <c r="I15" s="9">
        <v>12</v>
      </c>
      <c r="J15" s="8">
        <v>218410.68</v>
      </c>
      <c r="K15" s="8">
        <v>59630.639999999992</v>
      </c>
    </row>
    <row r="16" spans="1:11" x14ac:dyDescent="0.3">
      <c r="A16" s="9" t="s">
        <v>511</v>
      </c>
      <c r="B16" s="10">
        <v>231688.78000000009</v>
      </c>
      <c r="I16" s="9">
        <v>13</v>
      </c>
      <c r="J16" s="8">
        <v>348111.40000000008</v>
      </c>
      <c r="K16" s="8">
        <v>92445.209999999992</v>
      </c>
    </row>
    <row r="17" spans="1:11" x14ac:dyDescent="0.3">
      <c r="A17" s="9" t="s">
        <v>512</v>
      </c>
      <c r="B17" s="10">
        <v>233704.15999999992</v>
      </c>
      <c r="I17" s="9">
        <v>14</v>
      </c>
      <c r="J17" s="8">
        <v>298207.14000000007</v>
      </c>
      <c r="K17" s="8">
        <v>76482.7</v>
      </c>
    </row>
    <row r="18" spans="1:11" x14ac:dyDescent="0.3">
      <c r="A18" s="9" t="s">
        <v>516</v>
      </c>
      <c r="B18" s="10">
        <v>230897.31</v>
      </c>
      <c r="I18" s="9">
        <v>15</v>
      </c>
      <c r="J18" s="8">
        <v>324052.64999999997</v>
      </c>
      <c r="K18" s="8">
        <v>91531.349999999991</v>
      </c>
    </row>
    <row r="19" spans="1:11" x14ac:dyDescent="0.3">
      <c r="A19" s="9" t="s">
        <v>515</v>
      </c>
      <c r="B19" s="10">
        <v>258282.17000000016</v>
      </c>
      <c r="I19" s="9">
        <v>16</v>
      </c>
      <c r="J19" s="8">
        <v>330938.08</v>
      </c>
      <c r="K19" s="8">
        <v>94151.680000000008</v>
      </c>
    </row>
    <row r="20" spans="1:11" x14ac:dyDescent="0.3">
      <c r="A20" s="9" t="s">
        <v>518</v>
      </c>
      <c r="B20" s="10">
        <v>1372442.36</v>
      </c>
      <c r="I20" s="9">
        <v>17</v>
      </c>
      <c r="J20" s="8">
        <v>543971.43999999994</v>
      </c>
      <c r="K20" s="8">
        <v>130725.24000000002</v>
      </c>
    </row>
    <row r="21" spans="1:11" x14ac:dyDescent="0.3">
      <c r="I21" s="9">
        <v>18</v>
      </c>
      <c r="J21" s="8">
        <v>611841.42000000004</v>
      </c>
      <c r="K21" s="8">
        <v>155533.85999999996</v>
      </c>
    </row>
    <row r="22" spans="1:11" x14ac:dyDescent="0.3">
      <c r="I22" s="9">
        <v>19</v>
      </c>
      <c r="J22" s="8">
        <v>496843.34999999992</v>
      </c>
      <c r="K22" s="8">
        <v>126452.59999999998</v>
      </c>
    </row>
    <row r="23" spans="1:11" x14ac:dyDescent="0.3">
      <c r="I23" s="9">
        <v>20</v>
      </c>
      <c r="J23" s="8">
        <v>517483.8</v>
      </c>
      <c r="K23" s="8">
        <v>128897.40000000001</v>
      </c>
    </row>
    <row r="24" spans="1:11" x14ac:dyDescent="0.3">
      <c r="I24" s="9" t="s">
        <v>518</v>
      </c>
      <c r="J24" s="8">
        <v>5376830.1099999994</v>
      </c>
      <c r="K24" s="8">
        <v>1372442.3599999999</v>
      </c>
    </row>
    <row r="25" spans="1:11" x14ac:dyDescent="0.3">
      <c r="A25" s="7" t="s">
        <v>522</v>
      </c>
      <c r="B25" s="8" t="s">
        <v>524</v>
      </c>
    </row>
    <row r="26" spans="1:11" x14ac:dyDescent="0.3">
      <c r="A26" s="9" t="s">
        <v>525</v>
      </c>
      <c r="B26" s="8">
        <v>363109.06999999983</v>
      </c>
    </row>
    <row r="27" spans="1:11" x14ac:dyDescent="0.3">
      <c r="A27" s="9" t="s">
        <v>526</v>
      </c>
      <c r="B27" s="8">
        <v>1009333.29</v>
      </c>
    </row>
    <row r="28" spans="1:11" x14ac:dyDescent="0.3">
      <c r="A28" s="9" t="s">
        <v>518</v>
      </c>
      <c r="B28" s="8">
        <v>1372442.3599999999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B8BF-2DA5-4500-A2B8-97A944C2975D}">
  <dimension ref="A1"/>
  <sheetViews>
    <sheetView workbookViewId="0">
      <selection activeCell="J15" sqref="J1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52AF-DA58-443B-8E6E-23BD647DDCFF}">
  <dimension ref="H17"/>
  <sheetViews>
    <sheetView showGridLines="0" showRowColHeaders="0" zoomScale="78" workbookViewId="0">
      <selection activeCell="X4" sqref="X4"/>
    </sheetView>
  </sheetViews>
  <sheetFormatPr defaultRowHeight="14.4" x14ac:dyDescent="0.3"/>
  <cols>
    <col min="8" max="8" width="9.33203125" bestFit="1" customWidth="1"/>
  </cols>
  <sheetData>
    <row r="17" spans="8:8" x14ac:dyDescent="0.3">
      <c r="H1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dc:creator>
  <cp:lastModifiedBy>91790</cp:lastModifiedBy>
  <dcterms:created xsi:type="dcterms:W3CDTF">2025-09-22T15:11:22Z</dcterms:created>
  <dcterms:modified xsi:type="dcterms:W3CDTF">2025-09-23T13:50:56Z</dcterms:modified>
</cp:coreProperties>
</file>